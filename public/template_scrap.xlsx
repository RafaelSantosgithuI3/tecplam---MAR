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631E35E2-C1A1-4DFD-8B87-9605D962F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PTB13" sheetId="1" r:id="rId1"/>
    <sheet name="Dados" sheetId="3" state="hidden" r:id="rId2"/>
    <sheet name="Revisão " sheetId="2" state="hidden" r:id="rId3"/>
    <sheet name="IMPRESSAO" sheetId="4" r:id="rId4"/>
  </sheets>
  <definedNames>
    <definedName name="_xlnm._FilterDatabase" localSheetId="1" hidden="1">Dados!$N$2:$S$177</definedName>
    <definedName name="_xlnm._FilterDatabase" localSheetId="3" hidden="1">IMPRESSAO!$E$5:$N$100</definedName>
    <definedName name="_xlnm.Print_Area" localSheetId="0">FORPTB13!$D$1:$U$3</definedName>
    <definedName name="_xlnm.Print_Area" localSheetId="3">IMPRESSAO!$E$5:$N$72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" i="1" l="1"/>
  <c r="B5" i="4"/>
  <c r="K100" i="4" s="1"/>
  <c r="N100" i="4"/>
  <c r="M100" i="4"/>
  <c r="H100" i="4"/>
  <c r="G100" i="4"/>
  <c r="F100" i="4"/>
  <c r="E100" i="4"/>
  <c r="N99" i="4"/>
  <c r="M99" i="4"/>
  <c r="K99" i="4"/>
  <c r="J99" i="4"/>
  <c r="I99" i="4"/>
  <c r="H99" i="4"/>
  <c r="G99" i="4"/>
  <c r="F99" i="4"/>
  <c r="E99" i="4"/>
  <c r="N98" i="4"/>
  <c r="M98" i="4"/>
  <c r="K98" i="4"/>
  <c r="J98" i="4"/>
  <c r="I98" i="4"/>
  <c r="H98" i="4"/>
  <c r="G98" i="4"/>
  <c r="F98" i="4"/>
  <c r="E98" i="4"/>
  <c r="N97" i="4"/>
  <c r="M97" i="4"/>
  <c r="K97" i="4"/>
  <c r="J97" i="4"/>
  <c r="I97" i="4"/>
  <c r="H97" i="4"/>
  <c r="G97" i="4"/>
  <c r="F97" i="4"/>
  <c r="E97" i="4"/>
  <c r="N96" i="4"/>
  <c r="M96" i="4"/>
  <c r="K96" i="4"/>
  <c r="J96" i="4"/>
  <c r="I96" i="4"/>
  <c r="H96" i="4"/>
  <c r="G96" i="4"/>
  <c r="F96" i="4"/>
  <c r="E96" i="4"/>
  <c r="N95" i="4"/>
  <c r="M95" i="4"/>
  <c r="K95" i="4"/>
  <c r="J95" i="4"/>
  <c r="I95" i="4"/>
  <c r="H95" i="4"/>
  <c r="G95" i="4"/>
  <c r="F95" i="4"/>
  <c r="E95" i="4"/>
  <c r="N94" i="4"/>
  <c r="M94" i="4"/>
  <c r="K94" i="4"/>
  <c r="J94" i="4"/>
  <c r="I94" i="4"/>
  <c r="H94" i="4"/>
  <c r="G94" i="4"/>
  <c r="F94" i="4"/>
  <c r="E94" i="4"/>
  <c r="N93" i="4"/>
  <c r="M93" i="4"/>
  <c r="K93" i="4"/>
  <c r="J93" i="4"/>
  <c r="I93" i="4"/>
  <c r="H93" i="4"/>
  <c r="G93" i="4"/>
  <c r="F93" i="4"/>
  <c r="E93" i="4"/>
  <c r="N92" i="4"/>
  <c r="M92" i="4"/>
  <c r="K92" i="4"/>
  <c r="J92" i="4"/>
  <c r="I92" i="4"/>
  <c r="H92" i="4"/>
  <c r="G92" i="4"/>
  <c r="F92" i="4"/>
  <c r="E92" i="4"/>
  <c r="N91" i="4"/>
  <c r="M91" i="4"/>
  <c r="K91" i="4"/>
  <c r="J91" i="4"/>
  <c r="I91" i="4"/>
  <c r="H91" i="4"/>
  <c r="G91" i="4"/>
  <c r="F91" i="4"/>
  <c r="E91" i="4"/>
  <c r="N90" i="4"/>
  <c r="M90" i="4"/>
  <c r="K90" i="4"/>
  <c r="J90" i="4"/>
  <c r="I90" i="4"/>
  <c r="H90" i="4"/>
  <c r="G90" i="4"/>
  <c r="F90" i="4"/>
  <c r="E90" i="4"/>
  <c r="N89" i="4"/>
  <c r="M89" i="4"/>
  <c r="K89" i="4"/>
  <c r="J89" i="4"/>
  <c r="I89" i="4"/>
  <c r="H89" i="4"/>
  <c r="G89" i="4"/>
  <c r="F89" i="4"/>
  <c r="E89" i="4"/>
  <c r="N88" i="4"/>
  <c r="M88" i="4"/>
  <c r="K88" i="4"/>
  <c r="J88" i="4"/>
  <c r="I88" i="4"/>
  <c r="H88" i="4"/>
  <c r="G88" i="4"/>
  <c r="F88" i="4"/>
  <c r="E88" i="4"/>
  <c r="N87" i="4"/>
  <c r="M87" i="4"/>
  <c r="K87" i="4"/>
  <c r="J87" i="4"/>
  <c r="I87" i="4"/>
  <c r="H87" i="4"/>
  <c r="G87" i="4"/>
  <c r="F87" i="4"/>
  <c r="E87" i="4"/>
  <c r="N86" i="4"/>
  <c r="M86" i="4"/>
  <c r="K86" i="4"/>
  <c r="J86" i="4"/>
  <c r="I86" i="4"/>
  <c r="H86" i="4"/>
  <c r="G86" i="4"/>
  <c r="F86" i="4"/>
  <c r="E86" i="4"/>
  <c r="N85" i="4"/>
  <c r="M85" i="4"/>
  <c r="K85" i="4"/>
  <c r="J85" i="4"/>
  <c r="I85" i="4"/>
  <c r="H85" i="4"/>
  <c r="G85" i="4"/>
  <c r="F85" i="4"/>
  <c r="E85" i="4"/>
  <c r="N84" i="4"/>
  <c r="M84" i="4"/>
  <c r="K84" i="4"/>
  <c r="J84" i="4"/>
  <c r="I84" i="4"/>
  <c r="H84" i="4"/>
  <c r="G84" i="4"/>
  <c r="F84" i="4"/>
  <c r="E84" i="4"/>
  <c r="N83" i="4"/>
  <c r="M83" i="4"/>
  <c r="K83" i="4"/>
  <c r="J83" i="4"/>
  <c r="I83" i="4"/>
  <c r="H83" i="4"/>
  <c r="G83" i="4"/>
  <c r="F83" i="4"/>
  <c r="E83" i="4"/>
  <c r="N82" i="4"/>
  <c r="M82" i="4"/>
  <c r="K82" i="4"/>
  <c r="J82" i="4"/>
  <c r="I82" i="4"/>
  <c r="H82" i="4"/>
  <c r="G82" i="4"/>
  <c r="F82" i="4"/>
  <c r="E82" i="4"/>
  <c r="N81" i="4"/>
  <c r="M81" i="4"/>
  <c r="K81" i="4"/>
  <c r="J81" i="4"/>
  <c r="I81" i="4"/>
  <c r="H81" i="4"/>
  <c r="G81" i="4"/>
  <c r="F81" i="4"/>
  <c r="E81" i="4"/>
  <c r="N80" i="4"/>
  <c r="M80" i="4"/>
  <c r="K80" i="4"/>
  <c r="J80" i="4"/>
  <c r="I80" i="4"/>
  <c r="H80" i="4"/>
  <c r="G80" i="4"/>
  <c r="F80" i="4"/>
  <c r="E80" i="4"/>
  <c r="N79" i="4"/>
  <c r="M79" i="4"/>
  <c r="K79" i="4"/>
  <c r="J79" i="4"/>
  <c r="I79" i="4"/>
  <c r="H79" i="4"/>
  <c r="G79" i="4"/>
  <c r="F79" i="4"/>
  <c r="E79" i="4"/>
  <c r="N78" i="4"/>
  <c r="M78" i="4"/>
  <c r="K78" i="4"/>
  <c r="J78" i="4"/>
  <c r="I78" i="4"/>
  <c r="H78" i="4"/>
  <c r="G78" i="4"/>
  <c r="F78" i="4"/>
  <c r="E78" i="4"/>
  <c r="N77" i="4"/>
  <c r="M77" i="4"/>
  <c r="K77" i="4"/>
  <c r="J77" i="4"/>
  <c r="I77" i="4"/>
  <c r="H77" i="4"/>
  <c r="G77" i="4"/>
  <c r="F77" i="4"/>
  <c r="E77" i="4"/>
  <c r="N76" i="4"/>
  <c r="M76" i="4"/>
  <c r="K76" i="4"/>
  <c r="J76" i="4"/>
  <c r="I76" i="4"/>
  <c r="H76" i="4"/>
  <c r="G76" i="4"/>
  <c r="F76" i="4"/>
  <c r="E76" i="4"/>
  <c r="N75" i="4"/>
  <c r="M75" i="4"/>
  <c r="K75" i="4"/>
  <c r="J75" i="4"/>
  <c r="I75" i="4"/>
  <c r="H75" i="4"/>
  <c r="G75" i="4"/>
  <c r="F75" i="4"/>
  <c r="E75" i="4"/>
  <c r="N74" i="4"/>
  <c r="M74" i="4"/>
  <c r="K74" i="4"/>
  <c r="J74" i="4"/>
  <c r="I74" i="4"/>
  <c r="H74" i="4"/>
  <c r="G74" i="4"/>
  <c r="F74" i="4"/>
  <c r="E74" i="4"/>
  <c r="N73" i="4"/>
  <c r="M73" i="4"/>
  <c r="K73" i="4"/>
  <c r="J73" i="4"/>
  <c r="I73" i="4"/>
  <c r="H73" i="4"/>
  <c r="G73" i="4"/>
  <c r="F73" i="4"/>
  <c r="E73" i="4"/>
  <c r="N72" i="4"/>
  <c r="M72" i="4"/>
  <c r="K72" i="4"/>
  <c r="J72" i="4"/>
  <c r="I72" i="4"/>
  <c r="H72" i="4"/>
  <c r="G72" i="4"/>
  <c r="F72" i="4"/>
  <c r="E72" i="4"/>
  <c r="N71" i="4"/>
  <c r="M71" i="4"/>
  <c r="K71" i="4"/>
  <c r="J71" i="4"/>
  <c r="I71" i="4"/>
  <c r="H71" i="4"/>
  <c r="G71" i="4"/>
  <c r="F71" i="4"/>
  <c r="E71" i="4"/>
  <c r="N70" i="4"/>
  <c r="M70" i="4"/>
  <c r="K70" i="4"/>
  <c r="J70" i="4"/>
  <c r="I70" i="4"/>
  <c r="H70" i="4"/>
  <c r="G70" i="4"/>
  <c r="F70" i="4"/>
  <c r="E70" i="4"/>
  <c r="N69" i="4"/>
  <c r="M69" i="4"/>
  <c r="K69" i="4"/>
  <c r="J69" i="4"/>
  <c r="I69" i="4"/>
  <c r="H69" i="4"/>
  <c r="G69" i="4"/>
  <c r="F69" i="4"/>
  <c r="E69" i="4"/>
  <c r="N68" i="4"/>
  <c r="M68" i="4"/>
  <c r="K68" i="4"/>
  <c r="J68" i="4"/>
  <c r="I68" i="4"/>
  <c r="H68" i="4"/>
  <c r="G68" i="4"/>
  <c r="F68" i="4"/>
  <c r="E68" i="4"/>
  <c r="N67" i="4"/>
  <c r="M67" i="4"/>
  <c r="K67" i="4"/>
  <c r="J67" i="4"/>
  <c r="I67" i="4"/>
  <c r="H67" i="4"/>
  <c r="G67" i="4"/>
  <c r="F67" i="4"/>
  <c r="E67" i="4"/>
  <c r="N66" i="4"/>
  <c r="M66" i="4"/>
  <c r="K66" i="4"/>
  <c r="J66" i="4"/>
  <c r="I66" i="4"/>
  <c r="H66" i="4"/>
  <c r="G66" i="4"/>
  <c r="F66" i="4"/>
  <c r="E66" i="4"/>
  <c r="N65" i="4"/>
  <c r="M65" i="4"/>
  <c r="K65" i="4"/>
  <c r="J65" i="4"/>
  <c r="I65" i="4"/>
  <c r="H65" i="4"/>
  <c r="G65" i="4"/>
  <c r="F65" i="4"/>
  <c r="E65" i="4"/>
  <c r="N64" i="4"/>
  <c r="M64" i="4"/>
  <c r="K64" i="4"/>
  <c r="J64" i="4"/>
  <c r="I64" i="4"/>
  <c r="H64" i="4"/>
  <c r="G64" i="4"/>
  <c r="F64" i="4"/>
  <c r="E64" i="4"/>
  <c r="N63" i="4"/>
  <c r="M63" i="4"/>
  <c r="K63" i="4"/>
  <c r="J63" i="4"/>
  <c r="I63" i="4"/>
  <c r="H63" i="4"/>
  <c r="G63" i="4"/>
  <c r="F63" i="4"/>
  <c r="E63" i="4"/>
  <c r="N62" i="4"/>
  <c r="M62" i="4"/>
  <c r="K62" i="4"/>
  <c r="J62" i="4"/>
  <c r="I62" i="4"/>
  <c r="H62" i="4"/>
  <c r="G62" i="4"/>
  <c r="F62" i="4"/>
  <c r="E62" i="4"/>
  <c r="N61" i="4"/>
  <c r="M61" i="4"/>
  <c r="K61" i="4"/>
  <c r="J61" i="4"/>
  <c r="I61" i="4"/>
  <c r="H61" i="4"/>
  <c r="G61" i="4"/>
  <c r="F61" i="4"/>
  <c r="E61" i="4"/>
  <c r="N60" i="4"/>
  <c r="M60" i="4"/>
  <c r="K60" i="4"/>
  <c r="J60" i="4"/>
  <c r="I60" i="4"/>
  <c r="H60" i="4"/>
  <c r="G60" i="4"/>
  <c r="F60" i="4"/>
  <c r="E60" i="4"/>
  <c r="N59" i="4"/>
  <c r="M59" i="4"/>
  <c r="K59" i="4"/>
  <c r="J59" i="4"/>
  <c r="I59" i="4"/>
  <c r="H59" i="4"/>
  <c r="G59" i="4"/>
  <c r="F59" i="4"/>
  <c r="E59" i="4"/>
  <c r="N58" i="4"/>
  <c r="M58" i="4"/>
  <c r="K58" i="4"/>
  <c r="J58" i="4"/>
  <c r="I58" i="4"/>
  <c r="H58" i="4"/>
  <c r="G58" i="4"/>
  <c r="F58" i="4"/>
  <c r="E58" i="4"/>
  <c r="N57" i="4"/>
  <c r="M57" i="4"/>
  <c r="K57" i="4"/>
  <c r="J57" i="4"/>
  <c r="I57" i="4"/>
  <c r="H57" i="4"/>
  <c r="G57" i="4"/>
  <c r="F57" i="4"/>
  <c r="E57" i="4"/>
  <c r="N56" i="4"/>
  <c r="M56" i="4"/>
  <c r="K56" i="4"/>
  <c r="J56" i="4"/>
  <c r="I56" i="4"/>
  <c r="H56" i="4"/>
  <c r="G56" i="4"/>
  <c r="F56" i="4"/>
  <c r="E56" i="4"/>
  <c r="N55" i="4"/>
  <c r="M55" i="4"/>
  <c r="K55" i="4"/>
  <c r="J55" i="4"/>
  <c r="I55" i="4"/>
  <c r="H55" i="4"/>
  <c r="G55" i="4"/>
  <c r="F55" i="4"/>
  <c r="E55" i="4"/>
  <c r="N54" i="4"/>
  <c r="M54" i="4"/>
  <c r="K54" i="4"/>
  <c r="J54" i="4"/>
  <c r="I54" i="4"/>
  <c r="H54" i="4"/>
  <c r="G54" i="4"/>
  <c r="F54" i="4"/>
  <c r="E54" i="4"/>
  <c r="N53" i="4"/>
  <c r="M53" i="4"/>
  <c r="K53" i="4"/>
  <c r="J53" i="4"/>
  <c r="I53" i="4"/>
  <c r="H53" i="4"/>
  <c r="G53" i="4"/>
  <c r="F53" i="4"/>
  <c r="E53" i="4"/>
  <c r="N52" i="4"/>
  <c r="M52" i="4"/>
  <c r="K52" i="4"/>
  <c r="J52" i="4"/>
  <c r="I52" i="4"/>
  <c r="H52" i="4"/>
  <c r="G52" i="4"/>
  <c r="F52" i="4"/>
  <c r="E52" i="4"/>
  <c r="N51" i="4"/>
  <c r="M51" i="4"/>
  <c r="K51" i="4"/>
  <c r="J51" i="4"/>
  <c r="I51" i="4"/>
  <c r="H51" i="4"/>
  <c r="G51" i="4"/>
  <c r="F51" i="4"/>
  <c r="E51" i="4"/>
  <c r="N50" i="4"/>
  <c r="M50" i="4"/>
  <c r="K50" i="4"/>
  <c r="J50" i="4"/>
  <c r="I50" i="4"/>
  <c r="H50" i="4"/>
  <c r="G50" i="4"/>
  <c r="F50" i="4"/>
  <c r="E50" i="4"/>
  <c r="N49" i="4"/>
  <c r="M49" i="4"/>
  <c r="K49" i="4"/>
  <c r="J49" i="4"/>
  <c r="I49" i="4"/>
  <c r="H49" i="4"/>
  <c r="G49" i="4"/>
  <c r="F49" i="4"/>
  <c r="E49" i="4"/>
  <c r="N48" i="4"/>
  <c r="M48" i="4"/>
  <c r="K48" i="4"/>
  <c r="J48" i="4"/>
  <c r="I48" i="4"/>
  <c r="H48" i="4"/>
  <c r="G48" i="4"/>
  <c r="F48" i="4"/>
  <c r="E48" i="4"/>
  <c r="N47" i="4"/>
  <c r="M47" i="4"/>
  <c r="K47" i="4"/>
  <c r="J47" i="4"/>
  <c r="I47" i="4"/>
  <c r="H47" i="4"/>
  <c r="G47" i="4"/>
  <c r="F47" i="4"/>
  <c r="E47" i="4"/>
  <c r="M46" i="4"/>
  <c r="J46" i="4"/>
  <c r="I46" i="4"/>
  <c r="H46" i="4"/>
  <c r="G46" i="4"/>
  <c r="F46" i="4"/>
  <c r="E46" i="4"/>
  <c r="M45" i="4"/>
  <c r="J45" i="4"/>
  <c r="I45" i="4"/>
  <c r="H45" i="4"/>
  <c r="G45" i="4"/>
  <c r="F45" i="4"/>
  <c r="E45" i="4"/>
  <c r="M44" i="4"/>
  <c r="J44" i="4"/>
  <c r="I44" i="4"/>
  <c r="H44" i="4"/>
  <c r="G44" i="4"/>
  <c r="F44" i="4"/>
  <c r="E44" i="4"/>
  <c r="M43" i="4"/>
  <c r="J43" i="4"/>
  <c r="I43" i="4"/>
  <c r="H43" i="4"/>
  <c r="G43" i="4"/>
  <c r="F43" i="4"/>
  <c r="E43" i="4"/>
  <c r="M42" i="4"/>
  <c r="J42" i="4"/>
  <c r="I42" i="4"/>
  <c r="H42" i="4"/>
  <c r="G42" i="4"/>
  <c r="F42" i="4"/>
  <c r="E42" i="4"/>
  <c r="M41" i="4"/>
  <c r="J41" i="4"/>
  <c r="I41" i="4"/>
  <c r="H41" i="4"/>
  <c r="G41" i="4"/>
  <c r="F41" i="4"/>
  <c r="E41" i="4"/>
  <c r="M40" i="4"/>
  <c r="J40" i="4"/>
  <c r="I40" i="4"/>
  <c r="H40" i="4"/>
  <c r="G40" i="4"/>
  <c r="F40" i="4"/>
  <c r="E40" i="4"/>
  <c r="M39" i="4"/>
  <c r="J39" i="4"/>
  <c r="I39" i="4"/>
  <c r="H39" i="4"/>
  <c r="G39" i="4"/>
  <c r="F39" i="4"/>
  <c r="E39" i="4"/>
  <c r="M38" i="4"/>
  <c r="J38" i="4"/>
  <c r="I38" i="4"/>
  <c r="H38" i="4"/>
  <c r="G38" i="4"/>
  <c r="F38" i="4"/>
  <c r="E38" i="4"/>
  <c r="M37" i="4"/>
  <c r="J37" i="4"/>
  <c r="I37" i="4"/>
  <c r="H37" i="4"/>
  <c r="G37" i="4"/>
  <c r="F37" i="4"/>
  <c r="E37" i="4"/>
  <c r="M36" i="4"/>
  <c r="J36" i="4"/>
  <c r="I36" i="4"/>
  <c r="H36" i="4"/>
  <c r="G36" i="4"/>
  <c r="F36" i="4"/>
  <c r="E36" i="4"/>
  <c r="M35" i="4"/>
  <c r="J35" i="4"/>
  <c r="I35" i="4"/>
  <c r="H35" i="4"/>
  <c r="G35" i="4"/>
  <c r="F35" i="4"/>
  <c r="E35" i="4"/>
  <c r="M34" i="4"/>
  <c r="J34" i="4"/>
  <c r="I34" i="4"/>
  <c r="H34" i="4"/>
  <c r="G34" i="4"/>
  <c r="F34" i="4"/>
  <c r="E34" i="4"/>
  <c r="M33" i="4"/>
  <c r="J33" i="4"/>
  <c r="I33" i="4"/>
  <c r="H33" i="4"/>
  <c r="G33" i="4"/>
  <c r="F33" i="4"/>
  <c r="E33" i="4"/>
  <c r="M32" i="4"/>
  <c r="J32" i="4"/>
  <c r="I32" i="4"/>
  <c r="H32" i="4"/>
  <c r="G32" i="4"/>
  <c r="F32" i="4"/>
  <c r="E32" i="4"/>
  <c r="M31" i="4"/>
  <c r="J31" i="4"/>
  <c r="I31" i="4"/>
  <c r="H31" i="4"/>
  <c r="G31" i="4"/>
  <c r="F31" i="4"/>
  <c r="E31" i="4"/>
  <c r="M30" i="4"/>
  <c r="J30" i="4"/>
  <c r="I30" i="4"/>
  <c r="H30" i="4"/>
  <c r="G30" i="4"/>
  <c r="F30" i="4"/>
  <c r="E30" i="4"/>
  <c r="M29" i="4"/>
  <c r="J29" i="4"/>
  <c r="I29" i="4"/>
  <c r="H29" i="4"/>
  <c r="G29" i="4"/>
  <c r="F29" i="4"/>
  <c r="E29" i="4"/>
  <c r="M28" i="4"/>
  <c r="J28" i="4"/>
  <c r="I28" i="4"/>
  <c r="H28" i="4"/>
  <c r="G28" i="4"/>
  <c r="F28" i="4"/>
  <c r="E28" i="4"/>
  <c r="M27" i="4"/>
  <c r="J27" i="4"/>
  <c r="I27" i="4"/>
  <c r="H27" i="4"/>
  <c r="G27" i="4"/>
  <c r="F27" i="4"/>
  <c r="E27" i="4"/>
  <c r="M26" i="4"/>
  <c r="J26" i="4"/>
  <c r="I26" i="4"/>
  <c r="H26" i="4"/>
  <c r="G26" i="4"/>
  <c r="F26" i="4"/>
  <c r="E26" i="4"/>
  <c r="M25" i="4"/>
  <c r="J25" i="4"/>
  <c r="I25" i="4"/>
  <c r="H25" i="4"/>
  <c r="G25" i="4"/>
  <c r="F25" i="4"/>
  <c r="E25" i="4"/>
  <c r="M24" i="4"/>
  <c r="J24" i="4"/>
  <c r="I24" i="4"/>
  <c r="H24" i="4"/>
  <c r="G24" i="4"/>
  <c r="F24" i="4"/>
  <c r="E24" i="4"/>
  <c r="M23" i="4"/>
  <c r="J23" i="4"/>
  <c r="I23" i="4"/>
  <c r="H23" i="4"/>
  <c r="G23" i="4"/>
  <c r="F23" i="4"/>
  <c r="E23" i="4"/>
  <c r="M22" i="4"/>
  <c r="J22" i="4"/>
  <c r="I22" i="4"/>
  <c r="H22" i="4"/>
  <c r="G22" i="4"/>
  <c r="F22" i="4"/>
  <c r="E22" i="4"/>
  <c r="M21" i="4"/>
  <c r="J21" i="4"/>
  <c r="I21" i="4"/>
  <c r="H21" i="4"/>
  <c r="G21" i="4"/>
  <c r="F21" i="4"/>
  <c r="E21" i="4"/>
  <c r="M20" i="4"/>
  <c r="J20" i="4"/>
  <c r="I20" i="4"/>
  <c r="H20" i="4"/>
  <c r="G20" i="4"/>
  <c r="F20" i="4"/>
  <c r="E20" i="4"/>
  <c r="M19" i="4"/>
  <c r="J19" i="4"/>
  <c r="I19" i="4"/>
  <c r="H19" i="4"/>
  <c r="G19" i="4"/>
  <c r="F19" i="4"/>
  <c r="E19" i="4"/>
  <c r="M18" i="4"/>
  <c r="J18" i="4"/>
  <c r="I18" i="4"/>
  <c r="H18" i="4"/>
  <c r="G18" i="4"/>
  <c r="F18" i="4"/>
  <c r="E18" i="4"/>
  <c r="M17" i="4"/>
  <c r="J17" i="4"/>
  <c r="I17" i="4"/>
  <c r="H17" i="4"/>
  <c r="G17" i="4"/>
  <c r="F17" i="4"/>
  <c r="E17" i="4"/>
  <c r="M16" i="4"/>
  <c r="J16" i="4"/>
  <c r="I16" i="4"/>
  <c r="H16" i="4"/>
  <c r="G16" i="4"/>
  <c r="F16" i="4"/>
  <c r="E16" i="4"/>
  <c r="M15" i="4"/>
  <c r="J15" i="4"/>
  <c r="I15" i="4"/>
  <c r="H15" i="4"/>
  <c r="G15" i="4"/>
  <c r="F15" i="4"/>
  <c r="E15" i="4"/>
  <c r="M14" i="4"/>
  <c r="J14" i="4"/>
  <c r="I14" i="4"/>
  <c r="H14" i="4"/>
  <c r="G14" i="4"/>
  <c r="F14" i="4"/>
  <c r="E14" i="4"/>
  <c r="M13" i="4"/>
  <c r="J13" i="4"/>
  <c r="I13" i="4"/>
  <c r="H13" i="4"/>
  <c r="G13" i="4"/>
  <c r="F13" i="4"/>
  <c r="E13" i="4"/>
  <c r="M12" i="4"/>
  <c r="J12" i="4"/>
  <c r="I12" i="4"/>
  <c r="H12" i="4"/>
  <c r="G12" i="4"/>
  <c r="F12" i="4"/>
  <c r="E12" i="4"/>
  <c r="M11" i="4"/>
  <c r="J11" i="4"/>
  <c r="I11" i="4"/>
  <c r="H11" i="4"/>
  <c r="G11" i="4"/>
  <c r="F11" i="4"/>
  <c r="E11" i="4"/>
  <c r="M10" i="4"/>
  <c r="J10" i="4"/>
  <c r="I10" i="4"/>
  <c r="H10" i="4"/>
  <c r="G10" i="4"/>
  <c r="F10" i="4"/>
  <c r="E10" i="4"/>
  <c r="M9" i="4"/>
  <c r="J9" i="4"/>
  <c r="I9" i="4"/>
  <c r="H9" i="4"/>
  <c r="G9" i="4"/>
  <c r="F9" i="4"/>
  <c r="E9" i="4"/>
  <c r="M8" i="4"/>
  <c r="J8" i="4"/>
  <c r="I8" i="4"/>
  <c r="H8" i="4"/>
  <c r="G8" i="4"/>
  <c r="F8" i="4"/>
  <c r="E8" i="4"/>
  <c r="I100" i="4" l="1"/>
  <c r="J100" i="4"/>
  <c r="L100" i="4" s="1"/>
  <c r="L97" i="4"/>
  <c r="L99" i="4"/>
  <c r="L47" i="4"/>
  <c r="L49" i="4"/>
  <c r="L51" i="4"/>
  <c r="L53" i="4"/>
  <c r="L55" i="4"/>
  <c r="L57" i="4"/>
  <c r="L59" i="4"/>
  <c r="L61" i="4"/>
  <c r="L63" i="4"/>
  <c r="L65" i="4"/>
  <c r="L67" i="4"/>
  <c r="L69" i="4"/>
  <c r="L71" i="4"/>
  <c r="L73" i="4"/>
  <c r="L75" i="4"/>
  <c r="L77" i="4"/>
  <c r="L79" i="4"/>
  <c r="L81" i="4"/>
  <c r="L83" i="4"/>
  <c r="L85" i="4"/>
  <c r="L87" i="4"/>
  <c r="L89" i="4"/>
  <c r="L91" i="4"/>
  <c r="L93" i="4"/>
  <c r="L95" i="4"/>
  <c r="L48" i="4"/>
  <c r="L50" i="4"/>
  <c r="L52" i="4"/>
  <c r="L54" i="4"/>
  <c r="L56" i="4"/>
  <c r="L58" i="4"/>
  <c r="L60" i="4"/>
  <c r="L62" i="4"/>
  <c r="L64" i="4"/>
  <c r="L66" i="4"/>
  <c r="L68" i="4"/>
  <c r="L70" i="4"/>
  <c r="L72" i="4"/>
  <c r="L74" i="4"/>
  <c r="L76" i="4"/>
  <c r="L78" i="4"/>
  <c r="L80" i="4"/>
  <c r="L82" i="4"/>
  <c r="L84" i="4"/>
  <c r="L86" i="4"/>
  <c r="L88" i="4"/>
  <c r="L90" i="4"/>
  <c r="L92" i="4"/>
  <c r="L94" i="4"/>
  <c r="L96" i="4"/>
  <c r="L98" i="4"/>
  <c r="N38" i="4"/>
  <c r="N39" i="4"/>
  <c r="N40" i="4"/>
  <c r="N41" i="4"/>
  <c r="N42" i="4"/>
  <c r="N43" i="4"/>
  <c r="N44" i="4"/>
  <c r="N45" i="4"/>
  <c r="N46" i="4"/>
  <c r="K42" i="4"/>
  <c r="L42" i="4" s="1"/>
  <c r="K43" i="4"/>
  <c r="L43" i="4" s="1"/>
  <c r="N37" i="4" l="1"/>
  <c r="K46" i="4"/>
  <c r="L46" i="4" s="1"/>
  <c r="K44" i="4"/>
  <c r="L44" i="4" s="1"/>
  <c r="K40" i="4"/>
  <c r="L40" i="4" s="1"/>
  <c r="K38" i="4"/>
  <c r="L38" i="4" s="1"/>
  <c r="K45" i="4"/>
  <c r="L45" i="4" s="1"/>
  <c r="K41" i="4"/>
  <c r="L41" i="4" s="1"/>
  <c r="K39" i="4"/>
  <c r="L39" i="4" s="1"/>
  <c r="K37" i="4"/>
  <c r="L37" i="4" s="1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K17" i="4"/>
  <c r="L17" i="4" s="1"/>
  <c r="K18" i="4"/>
  <c r="L18" i="4" s="1"/>
  <c r="K36" i="4"/>
  <c r="L36" i="4" s="1"/>
  <c r="K35" i="4" l="1"/>
  <c r="L35" i="4" s="1"/>
  <c r="K33" i="4"/>
  <c r="L33" i="4" s="1"/>
  <c r="K31" i="4"/>
  <c r="L31" i="4" s="1"/>
  <c r="K26" i="4"/>
  <c r="L26" i="4" s="1"/>
  <c r="K28" i="4"/>
  <c r="L28" i="4" s="1"/>
  <c r="K19" i="4"/>
  <c r="L19" i="4" s="1"/>
  <c r="K21" i="4"/>
  <c r="L21" i="4" s="1"/>
  <c r="K27" i="4"/>
  <c r="L27" i="4" s="1"/>
  <c r="K34" i="4"/>
  <c r="L34" i="4" s="1"/>
  <c r="K32" i="4"/>
  <c r="L32" i="4" s="1"/>
  <c r="K22" i="4"/>
  <c r="L22" i="4" s="1"/>
  <c r="K24" i="4"/>
  <c r="L24" i="4" s="1"/>
  <c r="K30" i="4"/>
  <c r="L30" i="4" s="1"/>
  <c r="K20" i="4"/>
  <c r="L20" i="4" s="1"/>
  <c r="K23" i="4"/>
  <c r="L23" i="4" s="1"/>
  <c r="K25" i="4"/>
  <c r="L25" i="4" s="1"/>
  <c r="K29" i="4"/>
  <c r="L29" i="4" s="1"/>
  <c r="N11" i="4"/>
  <c r="N8" i="4"/>
  <c r="N9" i="4"/>
  <c r="N10" i="4"/>
  <c r="N12" i="4"/>
  <c r="N13" i="4"/>
  <c r="N14" i="4"/>
  <c r="N15" i="4"/>
  <c r="N16" i="4"/>
  <c r="K16" i="4"/>
  <c r="L16" i="4" s="1"/>
  <c r="K15" i="4" l="1"/>
  <c r="L15" i="4" s="1"/>
  <c r="K13" i="4"/>
  <c r="L13" i="4" s="1"/>
  <c r="K11" i="4"/>
  <c r="L11" i="4" s="1"/>
  <c r="K9" i="4"/>
  <c r="L9" i="4" s="1"/>
  <c r="K14" i="4"/>
  <c r="L14" i="4" s="1"/>
  <c r="K12" i="4"/>
  <c r="L12" i="4" s="1"/>
  <c r="K10" i="4"/>
  <c r="L10" i="4" s="1"/>
  <c r="K8" i="4"/>
  <c r="L8" i="4" s="1"/>
  <c r="I7" i="4" l="1"/>
  <c r="I6" i="4"/>
  <c r="J6" i="4" l="1"/>
  <c r="M7" i="4"/>
  <c r="J7" i="4"/>
  <c r="H7" i="4"/>
  <c r="G7" i="4"/>
  <c r="F7" i="4"/>
  <c r="E7" i="4"/>
  <c r="M6" i="4"/>
  <c r="H6" i="4"/>
  <c r="G6" i="4"/>
  <c r="F6" i="4"/>
  <c r="E6" i="4"/>
  <c r="D6" i="4" l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N7" i="4" l="1"/>
  <c r="N6" i="4"/>
  <c r="K7" i="4" l="1"/>
  <c r="L7" i="4" s="1"/>
  <c r="K6" i="4"/>
  <c r="L6" i="4" s="1"/>
  <c r="L1" i="4" l="1"/>
  <c r="K32" i="3"/>
  <c r="K33" i="3"/>
</calcChain>
</file>

<file path=xl/sharedStrings.xml><?xml version="1.0" encoding="utf-8"?>
<sst xmlns="http://schemas.openxmlformats.org/spreadsheetml/2006/main" count="905" uniqueCount="463">
  <si>
    <t>Acompanhamento de Rejeitos no Processo</t>
  </si>
  <si>
    <t xml:space="preserve">CONTROLE DE REVISÃO </t>
  </si>
  <si>
    <t>DATA</t>
  </si>
  <si>
    <t xml:space="preserve">REVISÃO </t>
  </si>
  <si>
    <t xml:space="preserve">DESCRIÇÃO DA ALTERAÇÃO </t>
  </si>
  <si>
    <t>ELABORADO  POR</t>
  </si>
  <si>
    <t>APROVADO POR</t>
  </si>
  <si>
    <t>1A</t>
  </si>
  <si>
    <t xml:space="preserve">Elaboração Inicial </t>
  </si>
  <si>
    <t xml:space="preserve">Elba Chaves </t>
  </si>
  <si>
    <t>Leopoldo Jorge</t>
  </si>
  <si>
    <t xml:space="preserve">SEC01     </t>
  </si>
  <si>
    <t>SEC02</t>
  </si>
  <si>
    <t>TNP01</t>
  </si>
  <si>
    <t>TNP02</t>
  </si>
  <si>
    <t>TNP03</t>
  </si>
  <si>
    <t>REPARO</t>
  </si>
  <si>
    <t>RETRABALHO</t>
  </si>
  <si>
    <t>LINHA-AREA</t>
  </si>
  <si>
    <t>MODELO</t>
  </si>
  <si>
    <t>LIDER</t>
  </si>
  <si>
    <t>ITEM</t>
  </si>
  <si>
    <t>BATERIA</t>
  </si>
  <si>
    <t>PLACA</t>
  </si>
  <si>
    <t xml:space="preserve">FRONT </t>
  </si>
  <si>
    <t xml:space="preserve">REAR </t>
  </si>
  <si>
    <t>CAMERA</t>
  </si>
  <si>
    <t>CONECTOR</t>
  </si>
  <si>
    <t xml:space="preserve">CABOS </t>
  </si>
  <si>
    <t>OUTRO(S)</t>
  </si>
  <si>
    <t>STATUS</t>
  </si>
  <si>
    <t>RMA</t>
  </si>
  <si>
    <t>TRILHA ROMPIDA</t>
  </si>
  <si>
    <t>EXCESSO RETRABALHO</t>
  </si>
  <si>
    <t>QUEBRADO</t>
  </si>
  <si>
    <t>ALTERADO</t>
  </si>
  <si>
    <t>BATIDO</t>
  </si>
  <si>
    <t>DANIFICADO</t>
  </si>
  <si>
    <t>RISCADO</t>
  </si>
  <si>
    <t>CODIGO</t>
  </si>
  <si>
    <t>DESCRIÇÃO</t>
  </si>
  <si>
    <t>OPERADOR</t>
  </si>
  <si>
    <t>ESTAÇÃO</t>
  </si>
  <si>
    <t>CAUSA RAIZ</t>
  </si>
  <si>
    <t>MOTIVO</t>
  </si>
  <si>
    <t>MAQUINA</t>
  </si>
  <si>
    <t>OPERACIONAL</t>
  </si>
  <si>
    <t>MATERIAL</t>
  </si>
  <si>
    <t>CONTRA MEDIDA</t>
  </si>
  <si>
    <t>TURNO</t>
  </si>
  <si>
    <t>1 TURNO</t>
  </si>
  <si>
    <t>2 TURNO</t>
  </si>
  <si>
    <t>ADRIANA</t>
  </si>
  <si>
    <t>CARLOS B</t>
  </si>
  <si>
    <t>ERY ROOL</t>
  </si>
  <si>
    <t>HERCULES</t>
  </si>
  <si>
    <t>JARLISON</t>
  </si>
  <si>
    <t>LEOPOLDO</t>
  </si>
  <si>
    <t>MILER</t>
  </si>
  <si>
    <t>ROBERTA</t>
  </si>
  <si>
    <t>SABRINA</t>
  </si>
  <si>
    <t>SANDRINE</t>
  </si>
  <si>
    <t>SILVIA VALENTE</t>
  </si>
  <si>
    <t>STARLEM</t>
  </si>
  <si>
    <t>VANDA</t>
  </si>
  <si>
    <t>FORPTB -13
Data: 17 / 11 / 2025</t>
  </si>
  <si>
    <t>QUALIDADE</t>
  </si>
  <si>
    <t>AMANDA COELHO</t>
  </si>
  <si>
    <t xml:space="preserve">ANA PAULA LEDESMA </t>
  </si>
  <si>
    <t>FRANCISCA BATISTA</t>
  </si>
  <si>
    <t xml:space="preserve">JACIMEIRE DE OLIVEIRA </t>
  </si>
  <si>
    <t xml:space="preserve">LARISSA GEOVANA </t>
  </si>
  <si>
    <t>PAULO SAMUEL</t>
  </si>
  <si>
    <t>LINHA - AREA</t>
  </si>
  <si>
    <t>PQC</t>
  </si>
  <si>
    <t>QTDE</t>
  </si>
  <si>
    <t>CÓDIGO</t>
  </si>
  <si>
    <t>SM-X400/128G ( GRAY )</t>
  </si>
  <si>
    <t>SM-X400/256G ( GRAY )</t>
  </si>
  <si>
    <t>SM-X406B/128G ( GRAY )</t>
  </si>
  <si>
    <t>SM-X406B/256G ( GRAY )</t>
  </si>
  <si>
    <t>SM-X400B/128G ( RED )</t>
  </si>
  <si>
    <t>SM-X730/256G ( GRAY )</t>
  </si>
  <si>
    <t>SM-X736B/256G ( GRAY )</t>
  </si>
  <si>
    <t>SM-X930/512G ( GRAY )</t>
  </si>
  <si>
    <t>SM-P620/64G ( GRAY )</t>
  </si>
  <si>
    <t>SM-P620/64G ( PINK )</t>
  </si>
  <si>
    <t>SM-P625/64G ( GRAY )</t>
  </si>
  <si>
    <t>SM-P625/128G ( GRAY )</t>
  </si>
  <si>
    <t>SM-X820 /256 (GRAY)</t>
  </si>
  <si>
    <t>SM-X820/512 (GRAY)</t>
  </si>
  <si>
    <t>SM-X520/128G ( LIGHT BLUE )</t>
  </si>
  <si>
    <t>SM-X520/128G ( GRAY )</t>
  </si>
  <si>
    <t>SM-X520/128G ( SILVER )</t>
  </si>
  <si>
    <t>SM-X526B/128G ( LIGHT BLUE )</t>
  </si>
  <si>
    <t>SM-X526B/128G ( GRAY )</t>
  </si>
  <si>
    <t>SM-X526B/128G ( SILVER )</t>
  </si>
  <si>
    <t xml:space="preserve">SM-X620/128G  ( LIGHT BLUE ) </t>
  </si>
  <si>
    <t>SM-X620/128G ( GRAY )</t>
  </si>
  <si>
    <t>SM-X620/128G ( SILVER )</t>
  </si>
  <si>
    <t>SM-X626B/128G ( LIGHT BLUE )</t>
  </si>
  <si>
    <t>SM-X626B/128G ( GRAY )</t>
  </si>
  <si>
    <t>SM-X626B/128G ( SILVER )</t>
  </si>
  <si>
    <t>1B</t>
  </si>
  <si>
    <t>Alteração para modelo ON line</t>
  </si>
  <si>
    <t>CIRCUITO IMPRESSO DUPLA FACE, FLEXIVEL,</t>
  </si>
  <si>
    <t>CIRCUITO IMPRESSO DUPLA FACE, FLEXIVEL</t>
  </si>
  <si>
    <t>GH59-15356A</t>
  </si>
  <si>
    <t>SM-X306/T575</t>
  </si>
  <si>
    <t>GH59-15701A</t>
  </si>
  <si>
    <t>SM-X510/X400</t>
  </si>
  <si>
    <t>CIRCUITO IMPRESSO MULTICAMADAS, SEM COMP</t>
  </si>
  <si>
    <t>GH59-15702A</t>
  </si>
  <si>
    <t>SM-X510</t>
  </si>
  <si>
    <t>SUPORTE DE PLASTICO</t>
  </si>
  <si>
    <t>ETIQUETA DE PAPEL, AUTO-ADESIVA, IMPRESS</t>
  </si>
  <si>
    <t>SM-X510/X516</t>
  </si>
  <si>
    <t>SUBCONJUNTO MODULO ACUSTICO COM ALTO-FAL</t>
  </si>
  <si>
    <t>DISPOSITIVO DE CAPTURA DE IMAGENS COM CI</t>
  </si>
  <si>
    <t>ACUMULADOR ELETRICO DE ION-LITIO, RECARR</t>
  </si>
  <si>
    <t>GUIA DE CONEXAO PARA CARTAO INTELIGENTE</t>
  </si>
  <si>
    <t>SUBCONJUNTO ALOJAMENTO (PARTE DO GABINET</t>
  </si>
  <si>
    <t>GH83-08648A</t>
  </si>
  <si>
    <t>TECIDO EM TIRA, COM UMA DAS FACES COM SU</t>
  </si>
  <si>
    <t>TELA (DISPLAY) DE CRISTAL LIQUIDO (LCD)</t>
  </si>
  <si>
    <t>PLACA DE CIRCUITO IMPRESSO PRINCIPAL, MO</t>
  </si>
  <si>
    <t>PLACA DE CIRCUITO IMPRESSO MONTADA</t>
  </si>
  <si>
    <t>GH96-13743A</t>
  </si>
  <si>
    <t>SM-X306</t>
  </si>
  <si>
    <t>DISPOSITIVO DE CAPTURA DE IMAGEM</t>
  </si>
  <si>
    <t>GH96-13744A</t>
  </si>
  <si>
    <t>MÓDULO DE CAPTURA DE IMAGEM DE APARELHOS</t>
  </si>
  <si>
    <t>GH96-16034A</t>
  </si>
  <si>
    <t>SM-X610/X810/X820</t>
  </si>
  <si>
    <t>GH96-16036A</t>
  </si>
  <si>
    <t>SM-X710/X716/X820</t>
  </si>
  <si>
    <t>GH96-16182A</t>
  </si>
  <si>
    <t>SUBCJ ALOJ, CONT:ANT(S),ALTO-FAL(S),CALC</t>
  </si>
  <si>
    <t>ESTRUTURA DE FIXACAO, MONTADA, PARTE DO</t>
  </si>
  <si>
    <t>SUBCJ.ALOJ.(PART. GABIN.),CONT.:ANT.(S),</t>
  </si>
  <si>
    <t>ESPUMA DE PLASTICO, AUTO-ADESIVA.</t>
  </si>
  <si>
    <t>CAIXA DE PAPELAO, ONDULADO.</t>
  </si>
  <si>
    <t>FITA, AUTO-ADESIVA, DE PLASTICO.</t>
  </si>
  <si>
    <t>SUPORTE DE METAL COMUM.</t>
  </si>
  <si>
    <t>GH63-20834A</t>
  </si>
  <si>
    <t>TIRA DE PLASTICO, AUTO-ADESIVA.</t>
  </si>
  <si>
    <t>GH63-21644A</t>
  </si>
  <si>
    <t>SACO PARA EMBALAGEM, DE PAPEL.</t>
  </si>
  <si>
    <t>GH97-29706A</t>
  </si>
  <si>
    <t>GH97-29794A</t>
  </si>
  <si>
    <t>SUBCJ.ALOJ.FRONT.C/ LCD, CONT.: CONECTOR</t>
  </si>
  <si>
    <t>GH94-38346A</t>
  </si>
  <si>
    <t>PCI PRINCIPAL MONTADA</t>
  </si>
  <si>
    <t>GH98-48952A</t>
  </si>
  <si>
    <t>SUPORTE DE PLASTICO.</t>
  </si>
  <si>
    <t>GH97-29709A</t>
  </si>
  <si>
    <t>GH96-16684A</t>
  </si>
  <si>
    <t>CIRCUITO IMPRESSO SENSOR DE LUMINOSIDADE</t>
  </si>
  <si>
    <t>CABO COAXIAL COM PECAS DE CONEXAO.</t>
  </si>
  <si>
    <t>SUBCJ.ALOJ.(PART. GABIN.),CONT.:ANT.(S)</t>
  </si>
  <si>
    <t>PLACA DE CIRCUITO IMPRESSO MONTADA COM C</t>
  </si>
  <si>
    <t>GH39-02149A</t>
  </si>
  <si>
    <t>SUBCONJUNTO TAMPA TRASEIRA</t>
  </si>
  <si>
    <t>PLACA DE CIRCUITO IMPRESSO FLEXIVEL</t>
  </si>
  <si>
    <t>TELA (DISPLAY) DE OLED COM RESPECTIVO C</t>
  </si>
  <si>
    <t>GH97-30341A</t>
  </si>
  <si>
    <t>SM-X820</t>
  </si>
  <si>
    <t>GH97-30340A</t>
  </si>
  <si>
    <t>GH96-17546A</t>
  </si>
  <si>
    <t>GH59-15792A</t>
  </si>
  <si>
    <t>GH94-40368A</t>
  </si>
  <si>
    <t>GH94-39931A</t>
  </si>
  <si>
    <t>SM-X820 512GB</t>
  </si>
  <si>
    <t>TIRA DE LIGA DE COBRE, AUTO-ADESIVO.</t>
  </si>
  <si>
    <t>GH97-30845A</t>
  </si>
  <si>
    <t>SM-X520</t>
  </si>
  <si>
    <t>GH97-30845B</t>
  </si>
  <si>
    <t>GH97-30845C</t>
  </si>
  <si>
    <t>GH97-30844A</t>
  </si>
  <si>
    <t>SM-X520/X526</t>
  </si>
  <si>
    <t>GH94-41089A</t>
  </si>
  <si>
    <t>GH96-19435A</t>
  </si>
  <si>
    <t>SM-X520/526/620/626</t>
  </si>
  <si>
    <t>GH96-19436A</t>
  </si>
  <si>
    <t>GH98-48819E</t>
  </si>
  <si>
    <t>SM-X520/X620</t>
  </si>
  <si>
    <t>GH97-30715A</t>
  </si>
  <si>
    <t>GH39-02183A</t>
  </si>
  <si>
    <t>GH59-15876A</t>
  </si>
  <si>
    <t>GH59-15883A</t>
  </si>
  <si>
    <t>GH94-41994A</t>
  </si>
  <si>
    <t>CIRCUITO IMPRESSO SENSOR DE PRESENCA, MO</t>
  </si>
  <si>
    <t>GH69-45049A</t>
  </si>
  <si>
    <t>GH94-42060A</t>
  </si>
  <si>
    <t>GH69-45272A</t>
  </si>
  <si>
    <t>GH97-30846A</t>
  </si>
  <si>
    <t>SM-X526</t>
  </si>
  <si>
    <t>GH97-30846B</t>
  </si>
  <si>
    <t>GH94-41068A</t>
  </si>
  <si>
    <t>GH98-48334E</t>
  </si>
  <si>
    <t>SM-X526/X626</t>
  </si>
  <si>
    <t>GH97-30884A</t>
  </si>
  <si>
    <t>SM-X620</t>
  </si>
  <si>
    <t>GH97-30884B</t>
  </si>
  <si>
    <t>GH97-30884C</t>
  </si>
  <si>
    <t>GH97-30886A</t>
  </si>
  <si>
    <t>SM-X620/X626</t>
  </si>
  <si>
    <t>GH94-41409A</t>
  </si>
  <si>
    <t>GH59-15871A</t>
  </si>
  <si>
    <t>GH59-15877A</t>
  </si>
  <si>
    <t>GH69-45055A</t>
  </si>
  <si>
    <t>GH94-42156A</t>
  </si>
  <si>
    <t>GH69-45273A</t>
  </si>
  <si>
    <t>GH97-30885A</t>
  </si>
  <si>
    <t>SM-X626</t>
  </si>
  <si>
    <t>GH97-30885B</t>
  </si>
  <si>
    <t>GH97-30885C</t>
  </si>
  <si>
    <t>GH94-41405A</t>
  </si>
  <si>
    <t>GH39-01919A</t>
  </si>
  <si>
    <t>GH43-05228B</t>
  </si>
  <si>
    <t>GH98-49041A</t>
  </si>
  <si>
    <t>CAPA PROTETORA DE PLASTICO PARA TABLET P</t>
  </si>
  <si>
    <t>GH97-31223A</t>
  </si>
  <si>
    <t>SM-X400</t>
  </si>
  <si>
    <t>GH97-31223B</t>
  </si>
  <si>
    <t>GH97-31222A</t>
  </si>
  <si>
    <t>GH94-42611A</t>
  </si>
  <si>
    <t>SM-X400 128GB</t>
  </si>
  <si>
    <t>GH94-42612A</t>
  </si>
  <si>
    <t>SM-X400 256GB</t>
  </si>
  <si>
    <t>GH96-20251A</t>
  </si>
  <si>
    <t>GH63-22595A</t>
  </si>
  <si>
    <t>GH63-22595C</t>
  </si>
  <si>
    <t>GH97-31194A</t>
  </si>
  <si>
    <t>GH69-45618A</t>
  </si>
  <si>
    <t>GH69-45850A</t>
  </si>
  <si>
    <t>GH43-05266C</t>
  </si>
  <si>
    <t>GH94-43107A</t>
  </si>
  <si>
    <t>GH97-31224A</t>
  </si>
  <si>
    <t>SM-X406</t>
  </si>
  <si>
    <t>GH94-42573A</t>
  </si>
  <si>
    <t>SM-X406 128GB</t>
  </si>
  <si>
    <t>GH94-42574A</t>
  </si>
  <si>
    <t>SM-X406 256GB</t>
  </si>
  <si>
    <t>GH98-50483A</t>
  </si>
  <si>
    <t>GH61-19224A</t>
  </si>
  <si>
    <t>GH97-31297A</t>
  </si>
  <si>
    <t>SM-X730</t>
  </si>
  <si>
    <t>GH97-31295A</t>
  </si>
  <si>
    <t>SM-X730/X736</t>
  </si>
  <si>
    <t>GH94-42765A</t>
  </si>
  <si>
    <t>SM-X730 256GB</t>
  </si>
  <si>
    <t>GH97-31244A</t>
  </si>
  <si>
    <t>GH96-20259A</t>
  </si>
  <si>
    <t>GH96-20260A</t>
  </si>
  <si>
    <t>GH98-50549A</t>
  </si>
  <si>
    <t>SM-X730/X930</t>
  </si>
  <si>
    <t>GH39-01742A</t>
  </si>
  <si>
    <t>CONDUTOR ELETRICO COAXIAL, PARA USO EM A</t>
  </si>
  <si>
    <t>GH94-43517A</t>
  </si>
  <si>
    <t>GH97-31296A</t>
  </si>
  <si>
    <t>SM-X736</t>
  </si>
  <si>
    <t>GH94-42928A</t>
  </si>
  <si>
    <t>SM-X736 256GB</t>
  </si>
  <si>
    <t>GH98-50548A</t>
  </si>
  <si>
    <t>BLINDAGEM, ESTAMPADA, DE METAL COMUM.</t>
  </si>
  <si>
    <t>GH97-31318A</t>
  </si>
  <si>
    <t>SM-X930</t>
  </si>
  <si>
    <t>GH97-31317A</t>
  </si>
  <si>
    <t>GH96-20261A</t>
  </si>
  <si>
    <t>GH96-20262A</t>
  </si>
  <si>
    <t>GH96-20263A</t>
  </si>
  <si>
    <t>GH94-43531A</t>
  </si>
  <si>
    <t>GH83-11979A</t>
  </si>
  <si>
    <t>SM-A066</t>
  </si>
  <si>
    <t>GH83-11982A</t>
  </si>
  <si>
    <t>SUBCJ. ALOJ. FRONTAL C/ MOSTRADOR DE LCD</t>
  </si>
  <si>
    <t>GH92-23605A</t>
  </si>
  <si>
    <t>CIRCUITO IMPRESSO RIGIDO MONTADO</t>
  </si>
  <si>
    <t>GH94-41428A</t>
  </si>
  <si>
    <t>GH83-11561A</t>
  </si>
  <si>
    <t>GH83-11562A</t>
  </si>
  <si>
    <t>GH83-11563A</t>
  </si>
  <si>
    <t>GH83-11578A</t>
  </si>
  <si>
    <t>BATERIA DE ION DE LITIO UN 3480 CR:9</t>
  </si>
  <si>
    <t>GH69-44361A</t>
  </si>
  <si>
    <t>GH83-12001A</t>
  </si>
  <si>
    <t>GH83-11577A</t>
  </si>
  <si>
    <t>TAMPA TRASEIRA CONTENDO ADESIVOS, CALCOS</t>
  </si>
  <si>
    <t>GH83-11580A</t>
  </si>
  <si>
    <t>GH83-12014A</t>
  </si>
  <si>
    <t>GH83-11979B</t>
  </si>
  <si>
    <t>GH83-12806B</t>
  </si>
  <si>
    <t>SM-X133</t>
  </si>
  <si>
    <t>GH83-12726A</t>
  </si>
  <si>
    <t>GH94-43621A</t>
  </si>
  <si>
    <t>GH83-12783A</t>
  </si>
  <si>
    <t>SM-X133/X135</t>
  </si>
  <si>
    <t>GH83-12784A</t>
  </si>
  <si>
    <t>GH83-12730B</t>
  </si>
  <si>
    <t>GH83-12779A</t>
  </si>
  <si>
    <t>GH83-12785A</t>
  </si>
  <si>
    <t>SUBCONJUNTO CONTENDO SUPORTE E CIRCUITO</t>
  </si>
  <si>
    <t>GH83-12790A</t>
  </si>
  <si>
    <t>CONJUNTO DE TECLAS PLASTICAS MOLDADAS EM</t>
  </si>
  <si>
    <t>GH83-12791A</t>
  </si>
  <si>
    <t>GH83-12769A</t>
  </si>
  <si>
    <t>CALCO DE BORRACHA VULCANIZADA NAO ENDURE</t>
  </si>
  <si>
    <t>GH83-12772A</t>
  </si>
  <si>
    <t>GH83-12773A</t>
  </si>
  <si>
    <t>GH83-12774A</t>
  </si>
  <si>
    <t>GH94-43623A</t>
  </si>
  <si>
    <t>GH83-12805A</t>
  </si>
  <si>
    <t>GH83-12787A</t>
  </si>
  <si>
    <t>GH83-12736A</t>
  </si>
  <si>
    <t>GH83-12788A</t>
  </si>
  <si>
    <t>ALTO-FALANTE.</t>
  </si>
  <si>
    <t>GH83-12748A</t>
  </si>
  <si>
    <t>GH69-46012A</t>
  </si>
  <si>
    <t>GH83-11580B</t>
  </si>
  <si>
    <t>GH83-11577B</t>
  </si>
  <si>
    <t>M MACHADO</t>
  </si>
  <si>
    <t>MODELO USADO</t>
  </si>
  <si>
    <t>GH83-12775A</t>
  </si>
  <si>
    <t>RESPONSÁVEL</t>
  </si>
  <si>
    <t>MOTIVO/POSMEC</t>
  </si>
  <si>
    <t>DATA:</t>
  </si>
  <si>
    <t>SM-X230/128 ( GRAY )</t>
  </si>
  <si>
    <t>SM-X236B/128 ( GRAY )</t>
  </si>
  <si>
    <t>SM-A066M/DS  ( GRAY )</t>
  </si>
  <si>
    <t>SM-A066M/DS  ( BLACK )</t>
  </si>
  <si>
    <t>SM-X133/6R4  ( SILVER )</t>
  </si>
  <si>
    <t>SM-X135G/6R4  ( GRAY )</t>
  </si>
  <si>
    <t>SM-X135G/128  ( GRAY )</t>
  </si>
  <si>
    <t>SM-X115/64 ( GRAY )</t>
  </si>
  <si>
    <t>SM-X306B/128G  ( GREEN )</t>
  </si>
  <si>
    <t>Scrap do Dia</t>
  </si>
  <si>
    <t>VALOR</t>
  </si>
  <si>
    <t>DESCRIÇÃO2</t>
  </si>
  <si>
    <t>X133</t>
  </si>
  <si>
    <t>Alto falante X135</t>
  </si>
  <si>
    <t>Front X135</t>
  </si>
  <si>
    <t>GH68-56861A</t>
  </si>
  <si>
    <t>ETIQUETA DE PLASTICO, AUTO-ADESIVA, EM R</t>
  </si>
  <si>
    <t>Miudezas</t>
  </si>
  <si>
    <t>GH83-12710A</t>
  </si>
  <si>
    <t>GH83-12771A</t>
  </si>
  <si>
    <t>GH83-12782A</t>
  </si>
  <si>
    <t>PELICULA DE GRAFITE, AUTO ADESIVA, COM S</t>
  </si>
  <si>
    <t>GH68-55255F</t>
  </si>
  <si>
    <t>ETIQUETA DE PAPEL AUTO-ADESIVA</t>
  </si>
  <si>
    <t>GH83-12777A</t>
  </si>
  <si>
    <t>PARAFUSO, DE ACO.</t>
  </si>
  <si>
    <t>Miudezas (9X)</t>
  </si>
  <si>
    <t>GH83-12841B</t>
  </si>
  <si>
    <t>ETIQUETA DE PAPEL, AUTO-ADESIVA</t>
  </si>
  <si>
    <t>Miudezas X133</t>
  </si>
  <si>
    <t>GH83-12711A</t>
  </si>
  <si>
    <t>Miudezas X135</t>
  </si>
  <si>
    <t>GH83-12841A</t>
  </si>
  <si>
    <t>GH83-12776A</t>
  </si>
  <si>
    <t>Miudezas(3X)</t>
  </si>
  <si>
    <t>Placa X135</t>
  </si>
  <si>
    <t>Rear X135</t>
  </si>
  <si>
    <t>GH94-43897A</t>
  </si>
  <si>
    <t>X230_X236</t>
  </si>
  <si>
    <t>GH96-20884A</t>
  </si>
  <si>
    <t>GH96-20885A</t>
  </si>
  <si>
    <t>GH97-31423A</t>
  </si>
  <si>
    <t>GH69-46189A</t>
  </si>
  <si>
    <t>GH98-50839A</t>
  </si>
  <si>
    <t>X230</t>
  </si>
  <si>
    <t>GH98-50727A</t>
  </si>
  <si>
    <t>GH61-21465A</t>
  </si>
  <si>
    <t>SUPORTE ESTAMPADO, DE ACO.</t>
  </si>
  <si>
    <t>GH61-21467A</t>
  </si>
  <si>
    <t>GH02-27858A</t>
  </si>
  <si>
    <t>GH02-27857A</t>
  </si>
  <si>
    <t>GH02-25161A</t>
  </si>
  <si>
    <t>GH68-57610A</t>
  </si>
  <si>
    <t>GH69-46077A</t>
  </si>
  <si>
    <t>GH39-02192A</t>
  </si>
  <si>
    <t>X236</t>
  </si>
  <si>
    <t>GH39-02193A</t>
  </si>
  <si>
    <t>GH39-02194A</t>
  </si>
  <si>
    <t>GH39-02195A</t>
  </si>
  <si>
    <t>GH98-50729A</t>
  </si>
  <si>
    <t>GH69-46166A</t>
  </si>
  <si>
    <t>DIVISORIA DE PAPEL EM FORMA PROPRIA.</t>
  </si>
  <si>
    <t>6001-003630</t>
  </si>
  <si>
    <t>GH94-43669A</t>
  </si>
  <si>
    <t>GH94-43680A</t>
  </si>
  <si>
    <t>GH97-31442A</t>
  </si>
  <si>
    <t>GH97-31441A</t>
  </si>
  <si>
    <t>GH63-22801A</t>
  </si>
  <si>
    <t>GH98-50596A</t>
  </si>
  <si>
    <t>MIUDEZA(S)</t>
  </si>
  <si>
    <t>VUNIT</t>
  </si>
  <si>
    <t>VALOR TT</t>
  </si>
  <si>
    <t>V UNIT</t>
  </si>
  <si>
    <t>PLANT</t>
  </si>
  <si>
    <t>CABO VERM.</t>
  </si>
  <si>
    <t>P81L</t>
  </si>
  <si>
    <t>CABO COAXIAL</t>
  </si>
  <si>
    <t>CABO COAX</t>
  </si>
  <si>
    <t>CABO FLAT P</t>
  </si>
  <si>
    <t>CABO FLAT</t>
  </si>
  <si>
    <t>BRACKET P</t>
  </si>
  <si>
    <t>SIM TRAY</t>
  </si>
  <si>
    <t>SIM TRAY RED</t>
  </si>
  <si>
    <t>CAIXA</t>
  </si>
  <si>
    <t>BAG</t>
  </si>
  <si>
    <t>P81N</t>
  </si>
  <si>
    <t>CAMERA 50M</t>
  </si>
  <si>
    <t>TAMPA TRASEIRA BLACK</t>
  </si>
  <si>
    <t>TAMPA TRASEIRA GRAY</t>
  </si>
  <si>
    <t>P81M</t>
  </si>
  <si>
    <t>SIM TRAY BLACK</t>
  </si>
  <si>
    <t>GH83-11578B</t>
  </si>
  <si>
    <t>SIM TRAY GRAY</t>
  </si>
  <si>
    <t>FINGER BLACK</t>
  </si>
  <si>
    <t>REAR BLACK</t>
  </si>
  <si>
    <t>REAR GRAY</t>
  </si>
  <si>
    <t>FRONT</t>
  </si>
  <si>
    <t>SPK BOX</t>
  </si>
  <si>
    <t>CAMERA 5M</t>
  </si>
  <si>
    <t>CAMERA 8M</t>
  </si>
  <si>
    <t>SIDE KEY FPC</t>
  </si>
  <si>
    <t>SIDE KEY COVER</t>
  </si>
  <si>
    <t>BLINDAGEM</t>
  </si>
  <si>
    <t>REAR SILVER</t>
  </si>
  <si>
    <t>GH94-40367A</t>
  </si>
  <si>
    <t>SM-X920</t>
  </si>
  <si>
    <t>SENSOR</t>
  </si>
  <si>
    <t>SENSOR DE P.</t>
  </si>
  <si>
    <t>PLACA 64GB</t>
  </si>
  <si>
    <t>CAMERA 12m</t>
  </si>
  <si>
    <t>CAMERA 13m</t>
  </si>
  <si>
    <t>CAMERA 12M</t>
  </si>
  <si>
    <t>CAMERA 13M</t>
  </si>
  <si>
    <t>REAR</t>
  </si>
  <si>
    <t>BRACKET</t>
  </si>
  <si>
    <t xml:space="preserve">REAR SILVER </t>
  </si>
  <si>
    <t xml:space="preserve">REAR BLUE </t>
  </si>
  <si>
    <t>SUBCJ.ALOJ.(PART. GABIN.),CONT.:ANT.(S</t>
  </si>
  <si>
    <t>REAR RED</t>
  </si>
  <si>
    <t>X736</t>
  </si>
  <si>
    <t>SIM T.GRAY</t>
  </si>
  <si>
    <t>SIM TRAY GR</t>
  </si>
  <si>
    <t>TAMPA TRASEIRA</t>
  </si>
  <si>
    <t>SM-X400/SM-X406/SM-X520/SM-X526</t>
  </si>
  <si>
    <t>V TOTAL</t>
  </si>
  <si>
    <t>TTL</t>
  </si>
  <si>
    <t>MATERIAL-FORNECEDOR</t>
  </si>
  <si>
    <t>METODO</t>
  </si>
  <si>
    <t>SEM</t>
  </si>
  <si>
    <t>#</t>
  </si>
  <si>
    <t>GH83-11557A</t>
  </si>
  <si>
    <t>SEC03</t>
  </si>
  <si>
    <t>RAFAEL SILVA</t>
  </si>
  <si>
    <t>MIUDEZAS</t>
  </si>
  <si>
    <t>JDM-VT COPPER FOIL;SM-A066,5470AA001003,</t>
  </si>
  <si>
    <t>QUEM GEROU O SCRAP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</si>
</sst>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Courier New"/>
      <family val="3"/>
    </font>
    <font>
      <b/>
      <sz val="2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0CEC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56">
    <xf numFmtId="0" fontId="0" fillId="0" borderId="0" xfId="0"/>
    <xf numFmtId="0" fontId="2" fillId="0" borderId="2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14" fontId="11" fillId="0" borderId="0" xfId="0" applyNumberFormat="1" applyFont="1"/>
    <xf numFmtId="0" fontId="12" fillId="0" borderId="0" xfId="0" applyFont="1"/>
    <xf numFmtId="14" fontId="12" fillId="4" borderId="0" xfId="0" applyNumberFormat="1" applyFont="1" applyFill="1"/>
    <xf numFmtId="0" fontId="12" fillId="4" borderId="0" xfId="0" applyFont="1" applyFill="1"/>
    <xf numFmtId="0" fontId="13" fillId="0" borderId="0" xfId="0" applyFont="1"/>
    <xf numFmtId="0" fontId="11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left"/>
    </xf>
    <xf numFmtId="14" fontId="12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4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/>
    <xf numFmtId="0" fontId="11" fillId="0" borderId="0" xfId="0" applyFont="1" applyAlignment="1"/>
    <xf numFmtId="0" fontId="12" fillId="4" borderId="0" xfId="0" applyFont="1" applyFill="1" applyAlignment="1"/>
    <xf numFmtId="0" fontId="13" fillId="0" borderId="0" xfId="0" applyFont="1" applyAlignment="1"/>
    <xf numFmtId="43" fontId="17" fillId="0" borderId="0" xfId="1" applyFont="1" applyAlignment="1"/>
    <xf numFmtId="0" fontId="0" fillId="0" borderId="0" xfId="0" applyAlignment="1">
      <alignment horizontal="center"/>
    </xf>
    <xf numFmtId="0" fontId="12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6" fillId="5" borderId="4" xfId="0" applyFont="1" applyFill="1" applyBorder="1"/>
    <xf numFmtId="0" fontId="11" fillId="6" borderId="0" xfId="0" applyFont="1" applyFill="1" applyAlignment="1">
      <alignment horizontal="left"/>
    </xf>
    <xf numFmtId="0" fontId="11" fillId="6" borderId="0" xfId="0" applyFont="1" applyFill="1" applyAlignment="1"/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/>
    <xf numFmtId="0" fontId="11" fillId="7" borderId="0" xfId="0" applyFont="1" applyFill="1" applyAlignment="1">
      <alignment horizontal="center"/>
    </xf>
    <xf numFmtId="0" fontId="11" fillId="6" borderId="0" xfId="0" applyFont="1" applyFill="1"/>
    <xf numFmtId="0" fontId="2" fillId="0" borderId="2" xfId="0" applyFont="1" applyBorder="1" applyAlignment="1">
      <alignment horizontal="center" vertical="center"/>
    </xf>
    <xf numFmtId="14" fontId="12" fillId="4" borderId="0" xfId="0" applyNumberFormat="1" applyFont="1" applyFill="1" applyAlignment="1">
      <alignment horizontal="left"/>
    </xf>
    <xf numFmtId="43" fontId="0" fillId="0" borderId="2" xfId="1" applyFont="1" applyBorder="1" applyAlignment="1">
      <alignment horizontal="center" vertical="center"/>
    </xf>
    <xf numFmtId="43" fontId="0" fillId="0" borderId="0" xfId="1" applyFont="1"/>
    <xf numFmtId="0" fontId="10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44"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ourier Ne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ourier New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scheme val="none"/>
      </font>
      <numFmt numFmtId="19" formatCode="dd/mm/yyyy"/>
    </dxf>
  </dxfs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77786</xdr:colOff>
      <xdr:row>0</xdr:row>
      <xdr:rowOff>59532</xdr:rowOff>
    </xdr:from>
    <xdr:to>
      <xdr:col>1</xdr:col>
      <xdr:colOff>1119187</xdr:colOff>
      <xdr:row>0</xdr:row>
      <xdr:rowOff>582389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A21EA8-E847-ACE8-A601-468DE45F7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6" y="59532"/>
          <a:ext cx="1148557" cy="52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12700</xdr:rowOff>
    </xdr:from>
    <xdr:to>
      <xdr:col>1</xdr:col>
      <xdr:colOff>825500</xdr:colOff>
      <xdr:row>3</xdr:row>
      <xdr:rowOff>114300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B9FDA636-75AA-B2EC-4D08-C878D869B2A7}"/>
            </a:ext>
          </a:extLst>
        </xdr:cNvPr>
        <xdr:cNvSpPr/>
      </xdr:nvSpPr>
      <xdr:spPr>
        <a:xfrm rot="5400000">
          <a:off x="812800" y="165100"/>
          <a:ext cx="482600" cy="762000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50800" dir="1980000" sx="101000" sy="101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3:U4" totalsRowShown="0" headerRowDxfId="3" dataDxfId="2" headerRowBorderDxfId="0" tableBorderDxfId="1">
  <tableColumns count="20">
    <tableColumn id="1" xr3:uid="{00000000-0010-0000-0000-000001000000}" name="DATA" dataDxfId="43" totalsRowDxfId="42"/>
    <tableColumn id="17" xr3:uid="{00000000-0010-0000-0000-000011000000}" name="SEM" dataDxfId="41" totalsRowDxfId="40"/>
    <tableColumn id="2" xr3:uid="{00000000-0010-0000-0000-000002000000}" name="TURNO" dataDxfId="39" totalsRowDxfId="38"/>
    <tableColumn id="3" xr3:uid="{00000000-0010-0000-0000-000003000000}" name="LINHA - AREA" dataDxfId="37" totalsRowDxfId="36"/>
    <tableColumn id="4" xr3:uid="{00000000-0010-0000-0000-000004000000}" name="LIDER" dataDxfId="35" totalsRowDxfId="34"/>
    <tableColumn id="5" xr3:uid="{00000000-0010-0000-0000-000005000000}" name="PQC" dataDxfId="33" totalsRowDxfId="32"/>
    <tableColumn id="6" xr3:uid="{00000000-0010-0000-0000-000006000000}" name="MODELO" dataDxfId="31" totalsRowDxfId="30"/>
    <tableColumn id="7" xr3:uid="{00000000-0010-0000-0000-000007000000}" name="QTDE" dataDxfId="29" totalsRowDxfId="28"/>
    <tableColumn id="8" xr3:uid="{00000000-0010-0000-0000-000008000000}" name="ITEM" dataDxfId="27" totalsRowDxfId="26"/>
    <tableColumn id="9" xr3:uid="{00000000-0010-0000-0000-000009000000}" name="STATUS" dataDxfId="25" totalsRowDxfId="24"/>
    <tableColumn id="10" xr3:uid="{00000000-0010-0000-0000-00000A000000}" name="CÓDIGO" dataDxfId="23" totalsRowDxfId="22"/>
    <tableColumn id="11" xr3:uid="{00000000-0010-0000-0000-00000B000000}" name="DESCRIÇÃO" dataDxfId="21" totalsRowDxfId="20"/>
    <tableColumn id="21" xr3:uid="{00000000-0010-0000-0000-000015000000}" name="V UNIT" dataDxfId="19" totalsRowDxfId="18"/>
    <tableColumn id="22" xr3:uid="{00000000-0010-0000-0000-000016000000}" name="VALOR TT" dataDxfId="17" totalsRowDxfId="16"/>
    <tableColumn id="12" xr3:uid="{00000000-0010-0000-0000-00000C000000}" name="MODELO USADO" dataDxfId="15" totalsRowDxfId="14"/>
    <tableColumn id="13" xr3:uid="{00000000-0010-0000-0000-00000D000000}" name="RESPONSÁVEL" dataDxfId="13" totalsRowDxfId="12"/>
    <tableColumn id="14" xr3:uid="{00000000-0010-0000-0000-00000E000000}" name="ESTAÇÃO" dataDxfId="11" totalsRowDxfId="10"/>
    <tableColumn id="18" xr3:uid="{00000000-0010-0000-0000-000012000000}" name="MOTIVO/POSMEC" dataDxfId="9" totalsRowDxfId="8"/>
    <tableColumn id="15" xr3:uid="{00000000-0010-0000-0000-00000F000000}" name="CAUSA RAIZ" dataDxfId="7" totalsRowDxfId="6"/>
    <tableColumn id="16" xr3:uid="{00000000-0010-0000-0000-000010000000}" name="CONTRA MEDIDA" dataDxfId="5" totalsRowDxfId="4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3"/>
  <sheetViews>
    <sheetView showGridLines="0" tabSelected="1" zoomScale="75" zoomScaleNormal="75" workbookViewId="0">
      <pane ySplit="3" topLeftCell="A4" activePane="bottomLeft" state="frozen"/>
      <selection pane="bottomLeft" activeCell="G8" sqref="G8"/>
    </sheetView>
  </sheetViews>
  <sheetFormatPr defaultRowHeight="14.4" x14ac:dyDescent="0.3"/>
  <cols>
    <col min="1" max="1" width="1.5546875" customWidth="1"/>
    <col min="2" max="2" width="17.109375" customWidth="1"/>
    <col min="3" max="3" width="8.21875" style="37" customWidth="1"/>
    <col min="4" max="4" width="14" customWidth="1"/>
    <col min="5" max="5" width="12.33203125" customWidth="1"/>
    <col min="6" max="6" width="22" customWidth="1"/>
    <col min="7" max="7" width="33.5546875" bestFit="1" customWidth="1"/>
    <col min="8" max="8" width="40.44140625" customWidth="1"/>
    <col min="9" max="9" width="10.33203125" customWidth="1"/>
    <col min="10" max="10" width="17.109375" customWidth="1"/>
    <col min="11" max="11" width="28.44140625" customWidth="1"/>
    <col min="12" max="12" width="17" customWidth="1"/>
    <col min="13" max="13" width="59.6640625" customWidth="1"/>
    <col min="14" max="14" width="13.33203125" style="26" customWidth="1"/>
    <col min="15" max="15" width="15.33203125" customWidth="1"/>
    <col min="16" max="16" width="34.33203125" style="28" customWidth="1"/>
    <col min="17" max="17" width="25.44140625" customWidth="1"/>
    <col min="18" max="18" width="24.44140625" customWidth="1"/>
    <col min="19" max="19" width="83.109375" customWidth="1"/>
    <col min="20" max="20" width="22.88671875" customWidth="1"/>
    <col min="21" max="21" width="129.6640625" customWidth="1"/>
  </cols>
  <sheetData>
    <row r="1" spans="2:21" ht="52.5" customHeight="1" x14ac:dyDescent="0.25">
      <c r="B1" s="1"/>
      <c r="C1" s="48"/>
      <c r="D1" s="1"/>
      <c r="E1" s="1"/>
      <c r="F1" s="11"/>
      <c r="G1" s="11"/>
      <c r="H1" s="11"/>
      <c r="I1" s="11"/>
      <c r="J1" s="11" t="s">
        <v>0</v>
      </c>
      <c r="K1" s="11"/>
      <c r="L1" s="11"/>
      <c r="M1" s="11"/>
      <c r="N1" s="25" t="s">
        <v>452</v>
      </c>
      <c r="O1" s="50">
        <f>SUBTOTAL(9,O4:O999999)</f>
        <v>0</v>
      </c>
      <c r="P1" s="27"/>
      <c r="Q1" s="11" t="s">
        <v>462</v>
      </c>
      <c r="R1" s="11"/>
      <c r="S1" s="11"/>
      <c r="T1" s="11"/>
      <c r="U1" s="12" t="s">
        <v>65</v>
      </c>
    </row>
    <row r="2" spans="2:21" ht="15.6" customHeight="1" x14ac:dyDescent="0.25"/>
    <row r="3" spans="2:21" s="53" customFormat="1" ht="15" customHeight="1" x14ac:dyDescent="0.3">
      <c r="B3" s="52" t="s">
        <v>2</v>
      </c>
      <c r="C3" s="52" t="s">
        <v>455</v>
      </c>
      <c r="D3" s="52" t="s">
        <v>49</v>
      </c>
      <c r="E3" s="52" t="s">
        <v>73</v>
      </c>
      <c r="F3" s="55" t="s">
        <v>20</v>
      </c>
      <c r="G3" s="52" t="s">
        <v>74</v>
      </c>
      <c r="H3" s="52" t="s">
        <v>19</v>
      </c>
      <c r="I3" s="52" t="s">
        <v>75</v>
      </c>
      <c r="J3" s="52" t="s">
        <v>21</v>
      </c>
      <c r="K3" s="52" t="s">
        <v>30</v>
      </c>
      <c r="L3" s="52" t="s">
        <v>76</v>
      </c>
      <c r="M3" s="52" t="s">
        <v>40</v>
      </c>
      <c r="N3" s="52" t="s">
        <v>399</v>
      </c>
      <c r="O3" s="52" t="s">
        <v>398</v>
      </c>
      <c r="P3" s="52" t="s">
        <v>322</v>
      </c>
      <c r="Q3" s="52" t="s">
        <v>324</v>
      </c>
      <c r="R3" s="52" t="s">
        <v>42</v>
      </c>
      <c r="S3" s="52" t="s">
        <v>325</v>
      </c>
      <c r="T3" s="52" t="s">
        <v>43</v>
      </c>
      <c r="U3" s="52" t="s">
        <v>48</v>
      </c>
    </row>
  </sheetData>
  <pageMargins left="0" right="0" top="0" bottom="0" header="0.31496062992125984" footer="0.31496062992125984"/>
  <pageSetup paperSize="9" scale="30" orientation="landscape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181"/>
  <sheetViews>
    <sheetView topLeftCell="E112" zoomScale="75" zoomScaleNormal="75" workbookViewId="0">
      <selection activeCell="T66" sqref="T66"/>
    </sheetView>
  </sheetViews>
  <sheetFormatPr defaultRowHeight="14.4" x14ac:dyDescent="0.3"/>
  <cols>
    <col min="4" max="4" width="28.6640625" customWidth="1"/>
    <col min="5" max="5" width="6.33203125" customWidth="1"/>
    <col min="9" max="9" width="13.6640625" customWidth="1"/>
    <col min="10" max="10" width="9.109375" customWidth="1"/>
    <col min="13" max="13" width="11.88671875" customWidth="1"/>
    <col min="14" max="14" width="14.88671875" customWidth="1"/>
    <col min="15" max="15" width="28.44140625" customWidth="1"/>
    <col min="16" max="16" width="46.109375" customWidth="1"/>
    <col min="17" max="17" width="18.109375" customWidth="1"/>
    <col min="18" max="18" width="7.6640625" customWidth="1"/>
    <col min="19" max="19" width="11.6640625" customWidth="1"/>
    <col min="28" max="28" width="16.88671875" customWidth="1"/>
  </cols>
  <sheetData>
    <row r="2" spans="1:29" x14ac:dyDescent="0.3">
      <c r="A2" t="s">
        <v>49</v>
      </c>
      <c r="B2" s="10" t="s">
        <v>18</v>
      </c>
      <c r="C2" s="10"/>
      <c r="D2" s="10" t="s">
        <v>19</v>
      </c>
      <c r="E2" s="10"/>
      <c r="F2" s="10" t="s">
        <v>20</v>
      </c>
      <c r="G2" s="10"/>
      <c r="H2" s="10" t="s">
        <v>66</v>
      </c>
      <c r="I2" s="10"/>
      <c r="J2" s="10" t="s">
        <v>21</v>
      </c>
      <c r="K2" s="10"/>
      <c r="L2" s="10" t="s">
        <v>30</v>
      </c>
      <c r="M2" s="10"/>
      <c r="N2" s="10" t="s">
        <v>39</v>
      </c>
      <c r="O2" s="10" t="s">
        <v>19</v>
      </c>
      <c r="P2" s="10" t="s">
        <v>40</v>
      </c>
      <c r="Q2" s="10" t="s">
        <v>338</v>
      </c>
      <c r="R2" s="10" t="s">
        <v>400</v>
      </c>
      <c r="S2" s="10" t="s">
        <v>337</v>
      </c>
      <c r="U2" s="10" t="s">
        <v>41</v>
      </c>
      <c r="V2" s="10" t="s">
        <v>42</v>
      </c>
      <c r="W2" s="10"/>
      <c r="X2" s="10" t="s">
        <v>43</v>
      </c>
      <c r="Y2" s="10"/>
      <c r="Z2" s="10" t="s">
        <v>44</v>
      </c>
      <c r="AA2" s="10"/>
      <c r="AB2" s="10" t="s">
        <v>48</v>
      </c>
      <c r="AC2" s="10"/>
    </row>
    <row r="3" spans="1:29" ht="15.75" customHeight="1" x14ac:dyDescent="0.3">
      <c r="A3" t="s">
        <v>50</v>
      </c>
      <c r="B3" t="s">
        <v>11</v>
      </c>
      <c r="D3" t="s">
        <v>335</v>
      </c>
      <c r="F3" t="s">
        <v>52</v>
      </c>
      <c r="H3" t="s">
        <v>67</v>
      </c>
      <c r="J3" t="s">
        <v>22</v>
      </c>
      <c r="L3" t="s">
        <v>31</v>
      </c>
      <c r="N3" t="s">
        <v>389</v>
      </c>
      <c r="O3" t="s">
        <v>365</v>
      </c>
      <c r="P3" t="s">
        <v>352</v>
      </c>
      <c r="S3">
        <v>0.02</v>
      </c>
      <c r="X3" t="s">
        <v>45</v>
      </c>
    </row>
    <row r="4" spans="1:29" x14ac:dyDescent="0.3">
      <c r="A4" t="s">
        <v>51</v>
      </c>
      <c r="B4" t="s">
        <v>12</v>
      </c>
      <c r="D4" t="s">
        <v>77</v>
      </c>
      <c r="F4" t="s">
        <v>54</v>
      </c>
      <c r="H4" t="s">
        <v>68</v>
      </c>
      <c r="J4" t="s">
        <v>23</v>
      </c>
      <c r="L4" t="s">
        <v>32</v>
      </c>
      <c r="N4" t="s">
        <v>378</v>
      </c>
      <c r="O4" t="s">
        <v>365</v>
      </c>
      <c r="P4" t="s">
        <v>145</v>
      </c>
      <c r="S4">
        <v>0.17</v>
      </c>
      <c r="X4" t="s">
        <v>46</v>
      </c>
    </row>
    <row r="5" spans="1:29" x14ac:dyDescent="0.3">
      <c r="B5" t="s">
        <v>458</v>
      </c>
      <c r="D5" t="s">
        <v>78</v>
      </c>
      <c r="F5" t="s">
        <v>55</v>
      </c>
      <c r="H5" t="s">
        <v>69</v>
      </c>
      <c r="J5" t="s">
        <v>24</v>
      </c>
      <c r="L5" t="s">
        <v>33</v>
      </c>
      <c r="N5" t="s">
        <v>377</v>
      </c>
      <c r="O5" t="s">
        <v>365</v>
      </c>
      <c r="P5" t="s">
        <v>173</v>
      </c>
      <c r="S5">
        <v>0.05</v>
      </c>
      <c r="X5" t="s">
        <v>47</v>
      </c>
    </row>
    <row r="6" spans="1:29" x14ac:dyDescent="0.3">
      <c r="B6" t="s">
        <v>13</v>
      </c>
      <c r="D6" t="s">
        <v>79</v>
      </c>
      <c r="F6" t="s">
        <v>56</v>
      </c>
      <c r="H6" t="s">
        <v>70</v>
      </c>
      <c r="J6" t="s">
        <v>25</v>
      </c>
      <c r="L6" t="s">
        <v>34</v>
      </c>
      <c r="N6" t="s">
        <v>376</v>
      </c>
      <c r="O6" t="s">
        <v>365</v>
      </c>
      <c r="P6" t="s">
        <v>123</v>
      </c>
      <c r="S6">
        <v>0.01</v>
      </c>
      <c r="X6" t="s">
        <v>453</v>
      </c>
    </row>
    <row r="7" spans="1:29" x14ac:dyDescent="0.3">
      <c r="B7" t="s">
        <v>14</v>
      </c>
      <c r="D7" t="s">
        <v>80</v>
      </c>
      <c r="F7" t="s">
        <v>57</v>
      </c>
      <c r="H7" t="s">
        <v>71</v>
      </c>
      <c r="J7" t="s">
        <v>26</v>
      </c>
      <c r="L7" t="s">
        <v>35</v>
      </c>
      <c r="N7" t="s">
        <v>257</v>
      </c>
      <c r="O7" t="s">
        <v>247</v>
      </c>
      <c r="P7" t="s">
        <v>258</v>
      </c>
      <c r="Q7" t="s">
        <v>401</v>
      </c>
      <c r="R7" t="s">
        <v>402</v>
      </c>
      <c r="S7">
        <v>0.34</v>
      </c>
      <c r="X7" t="s">
        <v>454</v>
      </c>
    </row>
    <row r="8" spans="1:29" x14ac:dyDescent="0.3">
      <c r="B8" t="s">
        <v>15</v>
      </c>
      <c r="D8" t="s">
        <v>81</v>
      </c>
      <c r="F8" t="s">
        <v>58</v>
      </c>
      <c r="H8" t="s">
        <v>72</v>
      </c>
      <c r="J8" t="s">
        <v>27</v>
      </c>
      <c r="L8" t="s">
        <v>36</v>
      </c>
      <c r="N8" t="s">
        <v>218</v>
      </c>
      <c r="O8" t="s">
        <v>206</v>
      </c>
      <c r="P8" t="s">
        <v>158</v>
      </c>
      <c r="Q8" t="s">
        <v>403</v>
      </c>
      <c r="R8" t="s">
        <v>402</v>
      </c>
      <c r="S8">
        <v>0.4</v>
      </c>
    </row>
    <row r="9" spans="1:29" x14ac:dyDescent="0.3">
      <c r="B9" t="s">
        <v>16</v>
      </c>
      <c r="D9" t="s">
        <v>82</v>
      </c>
      <c r="F9" t="s">
        <v>321</v>
      </c>
      <c r="J9" t="s">
        <v>28</v>
      </c>
      <c r="L9" t="s">
        <v>37</v>
      </c>
      <c r="N9" t="s">
        <v>161</v>
      </c>
      <c r="O9" t="s">
        <v>116</v>
      </c>
      <c r="P9" t="s">
        <v>158</v>
      </c>
      <c r="Q9" t="s">
        <v>404</v>
      </c>
      <c r="S9">
        <v>0.38</v>
      </c>
    </row>
    <row r="10" spans="1:29" x14ac:dyDescent="0.3">
      <c r="B10" t="s">
        <v>17</v>
      </c>
      <c r="D10" t="s">
        <v>83</v>
      </c>
      <c r="F10" t="s">
        <v>59</v>
      </c>
      <c r="J10" t="s">
        <v>29</v>
      </c>
      <c r="L10" t="s">
        <v>38</v>
      </c>
      <c r="N10" t="s">
        <v>187</v>
      </c>
      <c r="O10" t="s">
        <v>179</v>
      </c>
      <c r="P10" t="s">
        <v>105</v>
      </c>
      <c r="Q10" t="s">
        <v>403</v>
      </c>
      <c r="R10" t="s">
        <v>402</v>
      </c>
      <c r="S10">
        <v>0.4</v>
      </c>
    </row>
    <row r="11" spans="1:29" x14ac:dyDescent="0.3">
      <c r="D11" t="s">
        <v>84</v>
      </c>
      <c r="F11" t="s">
        <v>60</v>
      </c>
      <c r="J11" t="s">
        <v>396</v>
      </c>
      <c r="N11" t="s">
        <v>381</v>
      </c>
      <c r="O11" t="s">
        <v>382</v>
      </c>
      <c r="P11" t="s">
        <v>158</v>
      </c>
      <c r="S11">
        <v>0.35</v>
      </c>
    </row>
    <row r="12" spans="1:29" x14ac:dyDescent="0.3">
      <c r="D12" t="s">
        <v>85</v>
      </c>
      <c r="F12" t="s">
        <v>61</v>
      </c>
      <c r="N12" t="s">
        <v>383</v>
      </c>
      <c r="O12" t="s">
        <v>382</v>
      </c>
      <c r="P12" t="s">
        <v>158</v>
      </c>
      <c r="S12">
        <v>0.36</v>
      </c>
    </row>
    <row r="13" spans="1:29" x14ac:dyDescent="0.3">
      <c r="D13" t="s">
        <v>86</v>
      </c>
      <c r="F13" t="s">
        <v>62</v>
      </c>
      <c r="N13" t="s">
        <v>384</v>
      </c>
      <c r="O13" t="s">
        <v>382</v>
      </c>
      <c r="P13" t="s">
        <v>158</v>
      </c>
      <c r="S13">
        <v>0.38</v>
      </c>
    </row>
    <row r="14" spans="1:29" x14ac:dyDescent="0.3">
      <c r="D14" t="s">
        <v>87</v>
      </c>
      <c r="F14" t="s">
        <v>459</v>
      </c>
      <c r="N14" t="s">
        <v>385</v>
      </c>
      <c r="O14" t="s">
        <v>382</v>
      </c>
      <c r="P14" t="s">
        <v>158</v>
      </c>
      <c r="S14">
        <v>0.35</v>
      </c>
    </row>
    <row r="15" spans="1:29" x14ac:dyDescent="0.3">
      <c r="D15" t="s">
        <v>88</v>
      </c>
      <c r="F15" t="s">
        <v>63</v>
      </c>
      <c r="N15" t="s">
        <v>219</v>
      </c>
      <c r="O15" t="s">
        <v>206</v>
      </c>
      <c r="P15" t="s">
        <v>119</v>
      </c>
      <c r="Q15" t="s">
        <v>22</v>
      </c>
      <c r="R15" t="s">
        <v>402</v>
      </c>
      <c r="S15">
        <v>66.88</v>
      </c>
    </row>
    <row r="16" spans="1:29" x14ac:dyDescent="0.3">
      <c r="D16" t="s">
        <v>89</v>
      </c>
      <c r="F16" t="s">
        <v>64</v>
      </c>
      <c r="N16" t="s">
        <v>236</v>
      </c>
      <c r="O16" t="s">
        <v>450</v>
      </c>
      <c r="P16" t="s">
        <v>119</v>
      </c>
      <c r="Q16" t="s">
        <v>22</v>
      </c>
      <c r="R16" t="s">
        <v>402</v>
      </c>
      <c r="S16">
        <v>98.87</v>
      </c>
    </row>
    <row r="17" spans="4:19" x14ac:dyDescent="0.3">
      <c r="D17" t="s">
        <v>90</v>
      </c>
      <c r="F17" t="s">
        <v>53</v>
      </c>
      <c r="N17" t="s">
        <v>107</v>
      </c>
      <c r="O17" t="s">
        <v>108</v>
      </c>
      <c r="P17" t="s">
        <v>105</v>
      </c>
      <c r="Q17">
        <v>0</v>
      </c>
      <c r="S17">
        <v>7.24</v>
      </c>
    </row>
    <row r="18" spans="4:19" x14ac:dyDescent="0.3">
      <c r="D18" t="s">
        <v>91</v>
      </c>
      <c r="N18" t="s">
        <v>109</v>
      </c>
      <c r="O18" t="s">
        <v>110</v>
      </c>
      <c r="P18" t="s">
        <v>111</v>
      </c>
      <c r="Q18" t="s">
        <v>405</v>
      </c>
      <c r="S18">
        <v>1.98</v>
      </c>
    </row>
    <row r="19" spans="4:19" x14ac:dyDescent="0.3">
      <c r="D19" t="s">
        <v>92</v>
      </c>
      <c r="N19" t="s">
        <v>112</v>
      </c>
      <c r="O19" t="s">
        <v>113</v>
      </c>
      <c r="P19" t="s">
        <v>105</v>
      </c>
      <c r="Q19" t="s">
        <v>406</v>
      </c>
      <c r="S19">
        <v>9.52</v>
      </c>
    </row>
    <row r="20" spans="4:19" x14ac:dyDescent="0.3">
      <c r="D20" t="s">
        <v>93</v>
      </c>
      <c r="N20" t="s">
        <v>169</v>
      </c>
      <c r="O20" t="s">
        <v>166</v>
      </c>
      <c r="P20" t="s">
        <v>106</v>
      </c>
      <c r="Q20" t="s">
        <v>406</v>
      </c>
      <c r="S20">
        <v>9.01</v>
      </c>
    </row>
    <row r="21" spans="4:19" x14ac:dyDescent="0.3">
      <c r="D21" t="s">
        <v>94</v>
      </c>
      <c r="N21" t="s">
        <v>208</v>
      </c>
      <c r="O21" t="s">
        <v>206</v>
      </c>
      <c r="P21" t="s">
        <v>105</v>
      </c>
      <c r="Q21" t="s">
        <v>406</v>
      </c>
      <c r="S21">
        <v>2.78</v>
      </c>
    </row>
    <row r="22" spans="4:19" x14ac:dyDescent="0.3">
      <c r="D22" t="s">
        <v>95</v>
      </c>
      <c r="N22" t="s">
        <v>188</v>
      </c>
      <c r="O22" t="s">
        <v>179</v>
      </c>
      <c r="P22" t="s">
        <v>105</v>
      </c>
      <c r="Q22" t="s">
        <v>406</v>
      </c>
      <c r="S22">
        <v>10.01</v>
      </c>
    </row>
    <row r="23" spans="4:19" x14ac:dyDescent="0.3">
      <c r="D23" t="s">
        <v>96</v>
      </c>
      <c r="N23" t="s">
        <v>209</v>
      </c>
      <c r="O23" t="s">
        <v>206</v>
      </c>
      <c r="P23" t="s">
        <v>105</v>
      </c>
      <c r="Q23" t="s">
        <v>406</v>
      </c>
      <c r="R23" t="s">
        <v>402</v>
      </c>
      <c r="S23">
        <v>11.38</v>
      </c>
    </row>
    <row r="24" spans="4:19" x14ac:dyDescent="0.3">
      <c r="D24" t="s">
        <v>97</v>
      </c>
      <c r="N24" t="s">
        <v>189</v>
      </c>
      <c r="O24" t="s">
        <v>179</v>
      </c>
      <c r="P24" t="s">
        <v>105</v>
      </c>
      <c r="Q24" t="s">
        <v>405</v>
      </c>
      <c r="S24">
        <v>2.44</v>
      </c>
    </row>
    <row r="25" spans="4:19" x14ac:dyDescent="0.3">
      <c r="D25" t="s">
        <v>98</v>
      </c>
      <c r="N25" t="s">
        <v>245</v>
      </c>
      <c r="O25" t="s">
        <v>166</v>
      </c>
      <c r="P25" t="s">
        <v>114</v>
      </c>
      <c r="Q25" t="s">
        <v>407</v>
      </c>
      <c r="S25">
        <v>0.71</v>
      </c>
    </row>
    <row r="26" spans="4:19" x14ac:dyDescent="0.3">
      <c r="D26" t="s">
        <v>99</v>
      </c>
      <c r="N26" t="s">
        <v>373</v>
      </c>
      <c r="O26" t="s">
        <v>365</v>
      </c>
      <c r="P26" t="s">
        <v>374</v>
      </c>
      <c r="S26">
        <v>0.11</v>
      </c>
    </row>
    <row r="27" spans="4:19" x14ac:dyDescent="0.3">
      <c r="D27" t="s">
        <v>100</v>
      </c>
      <c r="N27" t="s">
        <v>375</v>
      </c>
      <c r="O27" t="s">
        <v>365</v>
      </c>
      <c r="P27" t="s">
        <v>374</v>
      </c>
      <c r="S27">
        <v>0.08</v>
      </c>
    </row>
    <row r="28" spans="4:19" x14ac:dyDescent="0.3">
      <c r="D28" t="s">
        <v>101</v>
      </c>
      <c r="N28" t="s">
        <v>144</v>
      </c>
      <c r="O28" t="s">
        <v>128</v>
      </c>
      <c r="P28" t="s">
        <v>145</v>
      </c>
      <c r="Q28">
        <v>0</v>
      </c>
      <c r="S28">
        <v>0.06</v>
      </c>
    </row>
    <row r="29" spans="4:19" x14ac:dyDescent="0.3">
      <c r="D29" t="s">
        <v>102</v>
      </c>
      <c r="N29" t="s">
        <v>146</v>
      </c>
      <c r="O29" t="s">
        <v>128</v>
      </c>
      <c r="P29" t="s">
        <v>145</v>
      </c>
      <c r="Q29">
        <v>0</v>
      </c>
      <c r="S29">
        <v>0.03</v>
      </c>
    </row>
    <row r="30" spans="4:19" x14ac:dyDescent="0.3">
      <c r="D30" t="s">
        <v>327</v>
      </c>
      <c r="N30" t="s">
        <v>231</v>
      </c>
      <c r="O30" t="s">
        <v>223</v>
      </c>
      <c r="P30" t="s">
        <v>120</v>
      </c>
      <c r="Q30" t="s">
        <v>408</v>
      </c>
      <c r="S30">
        <v>0.59</v>
      </c>
    </row>
    <row r="31" spans="4:19" x14ac:dyDescent="0.3">
      <c r="D31" t="s">
        <v>328</v>
      </c>
      <c r="N31" t="s">
        <v>232</v>
      </c>
      <c r="O31" t="s">
        <v>223</v>
      </c>
      <c r="P31" t="s">
        <v>120</v>
      </c>
      <c r="Q31" t="s">
        <v>409</v>
      </c>
      <c r="S31">
        <v>0.57999999999999996</v>
      </c>
    </row>
    <row r="32" spans="4:19" x14ac:dyDescent="0.3">
      <c r="D32" t="s">
        <v>329</v>
      </c>
      <c r="K32" t="str">
        <f>UPPER(F19)</f>
        <v/>
      </c>
      <c r="N32" t="s">
        <v>394</v>
      </c>
      <c r="O32" t="s">
        <v>371</v>
      </c>
      <c r="P32" t="s">
        <v>120</v>
      </c>
      <c r="S32">
        <v>0.56000000000000005</v>
      </c>
    </row>
    <row r="33" spans="4:19" x14ac:dyDescent="0.3">
      <c r="D33" t="s">
        <v>330</v>
      </c>
      <c r="K33" t="str">
        <f>UPPER(F20)</f>
        <v/>
      </c>
      <c r="N33" t="s">
        <v>349</v>
      </c>
      <c r="O33" t="s">
        <v>339</v>
      </c>
      <c r="P33" t="s">
        <v>350</v>
      </c>
      <c r="Q33" t="s">
        <v>344</v>
      </c>
      <c r="R33" t="s">
        <v>412</v>
      </c>
      <c r="S33">
        <v>0.09</v>
      </c>
    </row>
    <row r="34" spans="4:19" x14ac:dyDescent="0.3">
      <c r="D34" t="s">
        <v>331</v>
      </c>
      <c r="N34" t="s">
        <v>342</v>
      </c>
      <c r="O34" t="s">
        <v>339</v>
      </c>
      <c r="P34" t="s">
        <v>343</v>
      </c>
      <c r="Q34" t="s">
        <v>344</v>
      </c>
      <c r="R34" t="s">
        <v>412</v>
      </c>
      <c r="S34">
        <v>0.03</v>
      </c>
    </row>
    <row r="35" spans="4:19" x14ac:dyDescent="0.3">
      <c r="D35" t="s">
        <v>332</v>
      </c>
      <c r="N35" t="s">
        <v>379</v>
      </c>
      <c r="O35" t="s">
        <v>365</v>
      </c>
      <c r="P35" t="s">
        <v>115</v>
      </c>
      <c r="S35">
        <v>0.16</v>
      </c>
    </row>
    <row r="36" spans="4:19" x14ac:dyDescent="0.3">
      <c r="D36" t="s">
        <v>333</v>
      </c>
      <c r="N36" t="s">
        <v>285</v>
      </c>
      <c r="O36" t="s">
        <v>274</v>
      </c>
      <c r="P36" t="s">
        <v>141</v>
      </c>
      <c r="Q36" t="s">
        <v>410</v>
      </c>
      <c r="R36" t="s">
        <v>416</v>
      </c>
      <c r="S36">
        <v>5.32</v>
      </c>
    </row>
    <row r="37" spans="4:19" x14ac:dyDescent="0.3">
      <c r="D37" t="s">
        <v>334</v>
      </c>
      <c r="N37" t="s">
        <v>192</v>
      </c>
      <c r="O37" t="s">
        <v>179</v>
      </c>
      <c r="P37" t="s">
        <v>147</v>
      </c>
      <c r="Q37" t="s">
        <v>411</v>
      </c>
      <c r="S37">
        <v>2.16</v>
      </c>
    </row>
    <row r="38" spans="4:19" x14ac:dyDescent="0.3">
      <c r="N38" t="s">
        <v>210</v>
      </c>
      <c r="O38" t="s">
        <v>202</v>
      </c>
      <c r="P38" t="s">
        <v>147</v>
      </c>
      <c r="Q38" t="s">
        <v>411</v>
      </c>
      <c r="S38">
        <v>2.6</v>
      </c>
    </row>
    <row r="39" spans="4:19" x14ac:dyDescent="0.3">
      <c r="N39" t="s">
        <v>194</v>
      </c>
      <c r="O39" t="s">
        <v>179</v>
      </c>
      <c r="P39" t="s">
        <v>141</v>
      </c>
      <c r="Q39" t="s">
        <v>410</v>
      </c>
      <c r="S39">
        <v>6.84</v>
      </c>
    </row>
    <row r="40" spans="4:19" x14ac:dyDescent="0.3">
      <c r="N40" t="s">
        <v>212</v>
      </c>
      <c r="O40" t="s">
        <v>206</v>
      </c>
      <c r="P40" t="s">
        <v>141</v>
      </c>
      <c r="Q40" t="s">
        <v>410</v>
      </c>
      <c r="R40" t="s">
        <v>402</v>
      </c>
      <c r="S40">
        <v>7.28</v>
      </c>
    </row>
    <row r="41" spans="4:19" x14ac:dyDescent="0.3">
      <c r="N41" t="s">
        <v>234</v>
      </c>
      <c r="O41" t="s">
        <v>223</v>
      </c>
      <c r="P41" t="s">
        <v>147</v>
      </c>
      <c r="Q41" t="s">
        <v>411</v>
      </c>
      <c r="S41">
        <v>1.51</v>
      </c>
    </row>
    <row r="42" spans="4:19" x14ac:dyDescent="0.3">
      <c r="N42" t="s">
        <v>235</v>
      </c>
      <c r="O42" t="s">
        <v>223</v>
      </c>
      <c r="P42" t="s">
        <v>141</v>
      </c>
      <c r="Q42" t="s">
        <v>410</v>
      </c>
      <c r="R42" t="s">
        <v>402</v>
      </c>
      <c r="S42">
        <v>12.46</v>
      </c>
    </row>
    <row r="43" spans="4:19" x14ac:dyDescent="0.3">
      <c r="N43" t="s">
        <v>318</v>
      </c>
      <c r="O43" t="s">
        <v>293</v>
      </c>
      <c r="P43" t="s">
        <v>141</v>
      </c>
      <c r="Q43" t="s">
        <v>410</v>
      </c>
      <c r="R43" t="s">
        <v>412</v>
      </c>
      <c r="S43">
        <v>5.49</v>
      </c>
    </row>
    <row r="44" spans="4:19" x14ac:dyDescent="0.3">
      <c r="N44" t="s">
        <v>380</v>
      </c>
      <c r="O44" t="s">
        <v>365</v>
      </c>
      <c r="P44" t="s">
        <v>147</v>
      </c>
      <c r="S44">
        <v>1.59</v>
      </c>
    </row>
    <row r="45" spans="4:19" x14ac:dyDescent="0.3">
      <c r="N45" t="s">
        <v>387</v>
      </c>
      <c r="O45" t="s">
        <v>365</v>
      </c>
      <c r="P45" t="s">
        <v>388</v>
      </c>
      <c r="S45">
        <v>0.85</v>
      </c>
    </row>
    <row r="46" spans="4:19" x14ac:dyDescent="0.3">
      <c r="N46" t="s">
        <v>369</v>
      </c>
      <c r="O46" t="s">
        <v>365</v>
      </c>
      <c r="P46" t="s">
        <v>141</v>
      </c>
      <c r="S46">
        <v>9.6300000000000008</v>
      </c>
    </row>
    <row r="47" spans="4:19" x14ac:dyDescent="0.3">
      <c r="N47" t="s">
        <v>122</v>
      </c>
      <c r="O47" t="s">
        <v>293</v>
      </c>
      <c r="P47" t="s">
        <v>119</v>
      </c>
      <c r="Q47" t="s">
        <v>22</v>
      </c>
      <c r="R47" t="s">
        <v>412</v>
      </c>
      <c r="S47">
        <v>61.760000000000005</v>
      </c>
    </row>
    <row r="48" spans="4:19" x14ac:dyDescent="0.3">
      <c r="N48" t="s">
        <v>280</v>
      </c>
      <c r="O48" t="s">
        <v>274</v>
      </c>
      <c r="P48" t="s">
        <v>118</v>
      </c>
      <c r="Q48" t="s">
        <v>26</v>
      </c>
      <c r="R48" t="s">
        <v>416</v>
      </c>
      <c r="S48">
        <v>2.2599999999999998</v>
      </c>
    </row>
    <row r="49" spans="14:19" x14ac:dyDescent="0.3">
      <c r="N49" t="s">
        <v>281</v>
      </c>
      <c r="O49" t="s">
        <v>274</v>
      </c>
      <c r="P49" t="s">
        <v>118</v>
      </c>
      <c r="Q49" t="s">
        <v>413</v>
      </c>
      <c r="R49" t="s">
        <v>416</v>
      </c>
      <c r="S49">
        <v>22.41</v>
      </c>
    </row>
    <row r="50" spans="14:19" x14ac:dyDescent="0.3">
      <c r="N50" t="s">
        <v>282</v>
      </c>
      <c r="O50" t="s">
        <v>274</v>
      </c>
      <c r="P50" t="s">
        <v>118</v>
      </c>
      <c r="Q50" t="s">
        <v>26</v>
      </c>
      <c r="R50" t="s">
        <v>416</v>
      </c>
      <c r="S50">
        <v>6.93</v>
      </c>
    </row>
    <row r="51" spans="14:19" x14ac:dyDescent="0.3">
      <c r="N51" t="s">
        <v>287</v>
      </c>
      <c r="O51" t="s">
        <v>274</v>
      </c>
      <c r="P51" t="s">
        <v>288</v>
      </c>
      <c r="Q51" t="s">
        <v>414</v>
      </c>
      <c r="R51" t="s">
        <v>416</v>
      </c>
      <c r="S51">
        <v>11.44</v>
      </c>
    </row>
    <row r="52" spans="14:19" x14ac:dyDescent="0.3">
      <c r="N52" t="s">
        <v>320</v>
      </c>
      <c r="O52" t="s">
        <v>274</v>
      </c>
      <c r="P52" t="s">
        <v>288</v>
      </c>
      <c r="Q52" t="s">
        <v>415</v>
      </c>
      <c r="R52" t="s">
        <v>416</v>
      </c>
      <c r="S52">
        <v>11.33</v>
      </c>
    </row>
    <row r="53" spans="14:19" x14ac:dyDescent="0.3">
      <c r="N53" t="s">
        <v>283</v>
      </c>
      <c r="O53" t="s">
        <v>274</v>
      </c>
      <c r="P53" t="s">
        <v>120</v>
      </c>
      <c r="Q53" t="s">
        <v>417</v>
      </c>
      <c r="R53" t="s">
        <v>416</v>
      </c>
      <c r="S53">
        <v>0.52</v>
      </c>
    </row>
    <row r="54" spans="14:19" x14ac:dyDescent="0.3">
      <c r="N54" t="s">
        <v>418</v>
      </c>
      <c r="O54" t="s">
        <v>274</v>
      </c>
      <c r="P54" t="s">
        <v>120</v>
      </c>
      <c r="Q54" t="s">
        <v>419</v>
      </c>
      <c r="R54" t="s">
        <v>416</v>
      </c>
      <c r="S54">
        <v>0</v>
      </c>
    </row>
    <row r="55" spans="14:19" x14ac:dyDescent="0.3">
      <c r="N55" t="s">
        <v>289</v>
      </c>
      <c r="O55" t="s">
        <v>274</v>
      </c>
      <c r="P55" t="s">
        <v>163</v>
      </c>
      <c r="Q55" t="s">
        <v>420</v>
      </c>
      <c r="R55" t="s">
        <v>416</v>
      </c>
      <c r="S55">
        <v>2.64</v>
      </c>
    </row>
    <row r="56" spans="14:19" x14ac:dyDescent="0.3">
      <c r="N56" t="s">
        <v>319</v>
      </c>
      <c r="O56" t="s">
        <v>274</v>
      </c>
      <c r="P56" t="s">
        <v>163</v>
      </c>
      <c r="Q56" t="s">
        <v>419</v>
      </c>
      <c r="R56" t="s">
        <v>416</v>
      </c>
      <c r="S56">
        <v>2.66</v>
      </c>
    </row>
    <row r="57" spans="14:19" x14ac:dyDescent="0.3">
      <c r="N57" t="s">
        <v>273</v>
      </c>
      <c r="O57" t="s">
        <v>274</v>
      </c>
      <c r="P57" t="s">
        <v>162</v>
      </c>
      <c r="Q57" t="s">
        <v>421</v>
      </c>
      <c r="R57" t="s">
        <v>416</v>
      </c>
      <c r="S57">
        <v>7.45</v>
      </c>
    </row>
    <row r="58" spans="14:19" x14ac:dyDescent="0.3">
      <c r="N58" t="s">
        <v>291</v>
      </c>
      <c r="O58" t="s">
        <v>274</v>
      </c>
      <c r="P58" t="s">
        <v>162</v>
      </c>
      <c r="Q58" t="s">
        <v>422</v>
      </c>
      <c r="R58" t="s">
        <v>416</v>
      </c>
      <c r="S58">
        <v>7.33</v>
      </c>
    </row>
    <row r="59" spans="14:19" x14ac:dyDescent="0.3">
      <c r="N59" t="s">
        <v>275</v>
      </c>
      <c r="O59" t="s">
        <v>274</v>
      </c>
      <c r="P59" t="s">
        <v>276</v>
      </c>
      <c r="Q59" t="s">
        <v>423</v>
      </c>
      <c r="R59" t="s">
        <v>416</v>
      </c>
      <c r="S59">
        <v>61.22</v>
      </c>
    </row>
    <row r="60" spans="14:19" x14ac:dyDescent="0.3">
      <c r="N60" t="s">
        <v>286</v>
      </c>
      <c r="O60" t="s">
        <v>274</v>
      </c>
      <c r="P60" t="s">
        <v>147</v>
      </c>
      <c r="Q60" t="s">
        <v>411</v>
      </c>
      <c r="R60" t="s">
        <v>416</v>
      </c>
      <c r="S60">
        <v>0.97</v>
      </c>
    </row>
    <row r="61" spans="14:19" x14ac:dyDescent="0.3">
      <c r="N61" t="s">
        <v>290</v>
      </c>
      <c r="O61" t="s">
        <v>274</v>
      </c>
      <c r="P61" t="s">
        <v>284</v>
      </c>
      <c r="Q61" t="s">
        <v>22</v>
      </c>
      <c r="R61" t="s">
        <v>416</v>
      </c>
      <c r="S61">
        <v>39.93</v>
      </c>
    </row>
    <row r="62" spans="14:19" x14ac:dyDescent="0.3">
      <c r="N62" t="s">
        <v>457</v>
      </c>
      <c r="O62" t="s">
        <v>274</v>
      </c>
      <c r="P62" t="s">
        <v>461</v>
      </c>
      <c r="Q62" t="s">
        <v>460</v>
      </c>
      <c r="R62" t="s">
        <v>416</v>
      </c>
      <c r="S62" s="51">
        <v>1.8627278071722514E-2</v>
      </c>
    </row>
    <row r="63" spans="14:19" x14ac:dyDescent="0.3">
      <c r="N63" t="s">
        <v>345</v>
      </c>
      <c r="O63" t="s">
        <v>339</v>
      </c>
      <c r="P63" t="s">
        <v>173</v>
      </c>
      <c r="Q63" t="s">
        <v>344</v>
      </c>
      <c r="R63" t="s">
        <v>412</v>
      </c>
      <c r="S63">
        <v>0.03</v>
      </c>
    </row>
    <row r="64" spans="14:19" x14ac:dyDescent="0.3">
      <c r="N64" t="s">
        <v>357</v>
      </c>
      <c r="O64" t="s">
        <v>339</v>
      </c>
      <c r="P64" t="s">
        <v>173</v>
      </c>
      <c r="Q64" t="s">
        <v>358</v>
      </c>
      <c r="R64" t="s">
        <v>412</v>
      </c>
      <c r="S64">
        <v>7.0000000000000007E-2</v>
      </c>
    </row>
    <row r="65" spans="14:19" x14ac:dyDescent="0.3">
      <c r="N65" t="s">
        <v>294</v>
      </c>
      <c r="O65" t="s">
        <v>293</v>
      </c>
      <c r="P65" t="s">
        <v>124</v>
      </c>
      <c r="Q65" t="s">
        <v>423</v>
      </c>
      <c r="R65" t="s">
        <v>412</v>
      </c>
      <c r="S65">
        <v>26.41</v>
      </c>
    </row>
    <row r="66" spans="14:19" x14ac:dyDescent="0.3">
      <c r="N66" t="s">
        <v>299</v>
      </c>
      <c r="O66" t="s">
        <v>293</v>
      </c>
      <c r="P66" t="s">
        <v>154</v>
      </c>
      <c r="Q66" t="s">
        <v>408</v>
      </c>
      <c r="R66" t="s">
        <v>412</v>
      </c>
      <c r="S66">
        <v>1.73</v>
      </c>
    </row>
    <row r="67" spans="14:19" x14ac:dyDescent="0.3">
      <c r="N67" t="s">
        <v>314</v>
      </c>
      <c r="O67" t="s">
        <v>339</v>
      </c>
      <c r="P67" t="s">
        <v>154</v>
      </c>
      <c r="Q67" t="s">
        <v>358</v>
      </c>
      <c r="R67" t="s">
        <v>412</v>
      </c>
      <c r="S67">
        <v>1.73</v>
      </c>
    </row>
    <row r="68" spans="14:19" x14ac:dyDescent="0.3">
      <c r="N68" t="s">
        <v>317</v>
      </c>
      <c r="O68" t="s">
        <v>297</v>
      </c>
      <c r="P68" t="s">
        <v>147</v>
      </c>
      <c r="Q68" t="s">
        <v>411</v>
      </c>
      <c r="R68" t="s">
        <v>412</v>
      </c>
      <c r="S68">
        <v>1.47</v>
      </c>
    </row>
    <row r="69" spans="14:19" x14ac:dyDescent="0.3">
      <c r="N69" t="s">
        <v>306</v>
      </c>
      <c r="O69" t="s">
        <v>339</v>
      </c>
      <c r="P69" t="s">
        <v>307</v>
      </c>
      <c r="Q69" t="s">
        <v>344</v>
      </c>
      <c r="R69" t="s">
        <v>412</v>
      </c>
      <c r="S69">
        <v>0.06</v>
      </c>
    </row>
    <row r="70" spans="14:19" x14ac:dyDescent="0.3">
      <c r="N70" t="s">
        <v>346</v>
      </c>
      <c r="O70" t="s">
        <v>339</v>
      </c>
      <c r="P70" t="s">
        <v>140</v>
      </c>
      <c r="Q70" t="s">
        <v>344</v>
      </c>
      <c r="R70" t="s">
        <v>412</v>
      </c>
      <c r="S70">
        <v>0.01</v>
      </c>
    </row>
    <row r="71" spans="14:19" x14ac:dyDescent="0.3">
      <c r="N71" t="s">
        <v>308</v>
      </c>
      <c r="O71" t="s">
        <v>339</v>
      </c>
      <c r="P71" t="s">
        <v>140</v>
      </c>
      <c r="Q71" t="s">
        <v>344</v>
      </c>
      <c r="R71" t="s">
        <v>412</v>
      </c>
      <c r="S71">
        <v>0.01</v>
      </c>
    </row>
    <row r="72" spans="14:19" x14ac:dyDescent="0.3">
      <c r="N72" t="s">
        <v>309</v>
      </c>
      <c r="O72" t="s">
        <v>339</v>
      </c>
      <c r="P72" t="s">
        <v>140</v>
      </c>
      <c r="Q72" t="s">
        <v>344</v>
      </c>
      <c r="R72" t="s">
        <v>412</v>
      </c>
      <c r="S72">
        <v>0.12</v>
      </c>
    </row>
    <row r="73" spans="14:19" x14ac:dyDescent="0.3">
      <c r="N73" t="s">
        <v>310</v>
      </c>
      <c r="O73" t="s">
        <v>339</v>
      </c>
      <c r="P73" t="s">
        <v>123</v>
      </c>
      <c r="Q73" t="s">
        <v>344</v>
      </c>
      <c r="R73" t="s">
        <v>412</v>
      </c>
      <c r="S73">
        <v>0.01</v>
      </c>
    </row>
    <row r="74" spans="14:19" x14ac:dyDescent="0.3">
      <c r="N74" t="s">
        <v>323</v>
      </c>
      <c r="O74" t="s">
        <v>339</v>
      </c>
      <c r="P74" t="s">
        <v>142</v>
      </c>
      <c r="Q74" t="s">
        <v>344</v>
      </c>
      <c r="R74" t="s">
        <v>412</v>
      </c>
      <c r="S74">
        <v>0.41</v>
      </c>
    </row>
    <row r="75" spans="14:19" x14ac:dyDescent="0.3">
      <c r="N75" t="s">
        <v>360</v>
      </c>
      <c r="O75" t="s">
        <v>339</v>
      </c>
      <c r="P75" t="s">
        <v>352</v>
      </c>
      <c r="Q75" t="s">
        <v>361</v>
      </c>
      <c r="R75" t="s">
        <v>412</v>
      </c>
      <c r="S75">
        <v>0.01</v>
      </c>
    </row>
    <row r="76" spans="14:19" x14ac:dyDescent="0.3">
      <c r="N76" t="s">
        <v>351</v>
      </c>
      <c r="O76" t="s">
        <v>339</v>
      </c>
      <c r="P76" t="s">
        <v>352</v>
      </c>
      <c r="Q76" t="s">
        <v>353</v>
      </c>
      <c r="R76" t="s">
        <v>412</v>
      </c>
      <c r="S76">
        <v>4.5869999999999999E-3</v>
      </c>
    </row>
    <row r="77" spans="14:19" x14ac:dyDescent="0.3">
      <c r="N77" t="s">
        <v>300</v>
      </c>
      <c r="O77" t="s">
        <v>297</v>
      </c>
      <c r="P77" t="s">
        <v>117</v>
      </c>
      <c r="Q77" t="s">
        <v>424</v>
      </c>
      <c r="R77" t="s">
        <v>412</v>
      </c>
      <c r="S77">
        <v>4.62</v>
      </c>
    </row>
    <row r="78" spans="14:19" x14ac:dyDescent="0.3">
      <c r="N78" t="s">
        <v>347</v>
      </c>
      <c r="O78" t="s">
        <v>339</v>
      </c>
      <c r="P78" t="s">
        <v>348</v>
      </c>
      <c r="Q78" t="s">
        <v>344</v>
      </c>
      <c r="R78" t="s">
        <v>412</v>
      </c>
      <c r="S78">
        <v>0.12</v>
      </c>
    </row>
    <row r="79" spans="14:19" x14ac:dyDescent="0.3">
      <c r="N79" t="s">
        <v>296</v>
      </c>
      <c r="O79" t="s">
        <v>297</v>
      </c>
      <c r="P79" t="s">
        <v>118</v>
      </c>
      <c r="Q79" t="s">
        <v>425</v>
      </c>
      <c r="R79" t="s">
        <v>412</v>
      </c>
      <c r="S79">
        <v>4.92</v>
      </c>
    </row>
    <row r="80" spans="14:19" x14ac:dyDescent="0.3">
      <c r="N80" t="s">
        <v>298</v>
      </c>
      <c r="O80" t="s">
        <v>297</v>
      </c>
      <c r="P80" t="s">
        <v>118</v>
      </c>
      <c r="Q80" t="s">
        <v>426</v>
      </c>
      <c r="R80" t="s">
        <v>412</v>
      </c>
      <c r="S80">
        <v>7.98</v>
      </c>
    </row>
    <row r="81" spans="14:19" x14ac:dyDescent="0.3">
      <c r="N81" t="s">
        <v>301</v>
      </c>
      <c r="O81" t="s">
        <v>297</v>
      </c>
      <c r="P81" t="s">
        <v>302</v>
      </c>
      <c r="Q81" t="s">
        <v>427</v>
      </c>
      <c r="R81" t="s">
        <v>412</v>
      </c>
      <c r="S81">
        <v>0.87</v>
      </c>
    </row>
    <row r="82" spans="14:19" x14ac:dyDescent="0.3">
      <c r="N82" t="s">
        <v>313</v>
      </c>
      <c r="O82" t="s">
        <v>339</v>
      </c>
      <c r="P82" t="s">
        <v>124</v>
      </c>
      <c r="Q82" t="s">
        <v>341</v>
      </c>
      <c r="R82" t="s">
        <v>412</v>
      </c>
      <c r="S82">
        <v>26.61</v>
      </c>
    </row>
    <row r="83" spans="14:19" x14ac:dyDescent="0.3">
      <c r="N83" t="s">
        <v>315</v>
      </c>
      <c r="O83" t="s">
        <v>339</v>
      </c>
      <c r="P83" t="s">
        <v>316</v>
      </c>
      <c r="Q83" t="s">
        <v>340</v>
      </c>
      <c r="R83" t="s">
        <v>412</v>
      </c>
      <c r="S83">
        <v>1.69</v>
      </c>
    </row>
    <row r="84" spans="14:19" x14ac:dyDescent="0.3">
      <c r="N84" t="s">
        <v>303</v>
      </c>
      <c r="O84" t="s">
        <v>297</v>
      </c>
      <c r="P84" t="s">
        <v>304</v>
      </c>
      <c r="Q84" t="s">
        <v>428</v>
      </c>
      <c r="R84" t="s">
        <v>412</v>
      </c>
      <c r="S84">
        <v>0.27</v>
      </c>
    </row>
    <row r="85" spans="14:19" x14ac:dyDescent="0.3">
      <c r="N85" t="s">
        <v>305</v>
      </c>
      <c r="O85" t="s">
        <v>297</v>
      </c>
      <c r="P85" t="s">
        <v>143</v>
      </c>
      <c r="Q85" t="s">
        <v>429</v>
      </c>
      <c r="R85" t="s">
        <v>412</v>
      </c>
      <c r="S85">
        <v>0.18</v>
      </c>
    </row>
    <row r="86" spans="14:19" x14ac:dyDescent="0.3">
      <c r="N86" t="s">
        <v>312</v>
      </c>
      <c r="O86" t="s">
        <v>339</v>
      </c>
      <c r="P86" t="s">
        <v>121</v>
      </c>
      <c r="Q86" t="s">
        <v>363</v>
      </c>
      <c r="R86" t="s">
        <v>412</v>
      </c>
      <c r="S86">
        <v>34.61</v>
      </c>
    </row>
    <row r="87" spans="14:19" x14ac:dyDescent="0.3">
      <c r="N87" t="s">
        <v>292</v>
      </c>
      <c r="O87" t="s">
        <v>293</v>
      </c>
      <c r="P87" t="s">
        <v>139</v>
      </c>
      <c r="Q87" t="s">
        <v>430</v>
      </c>
      <c r="R87" t="s">
        <v>412</v>
      </c>
      <c r="S87">
        <v>33.39</v>
      </c>
    </row>
    <row r="88" spans="14:19" x14ac:dyDescent="0.3">
      <c r="N88" t="s">
        <v>359</v>
      </c>
      <c r="O88" t="s">
        <v>339</v>
      </c>
      <c r="P88" t="s">
        <v>355</v>
      </c>
      <c r="Q88" t="s">
        <v>358</v>
      </c>
      <c r="R88" t="s">
        <v>412</v>
      </c>
      <c r="S88">
        <v>0.2</v>
      </c>
    </row>
    <row r="89" spans="14:19" x14ac:dyDescent="0.3">
      <c r="N89" t="s">
        <v>354</v>
      </c>
      <c r="O89" t="s">
        <v>339</v>
      </c>
      <c r="P89" t="s">
        <v>355</v>
      </c>
      <c r="Q89" t="s">
        <v>356</v>
      </c>
      <c r="R89" t="s">
        <v>412</v>
      </c>
      <c r="S89">
        <v>0.2</v>
      </c>
    </row>
    <row r="90" spans="14:19" x14ac:dyDescent="0.3">
      <c r="N90" t="s">
        <v>277</v>
      </c>
      <c r="O90" t="s">
        <v>274</v>
      </c>
      <c r="P90" t="s">
        <v>278</v>
      </c>
      <c r="Q90" t="s">
        <v>23</v>
      </c>
      <c r="R90" t="s">
        <v>416</v>
      </c>
      <c r="S90">
        <v>340.5</v>
      </c>
    </row>
    <row r="91" spans="14:19" x14ac:dyDescent="0.3">
      <c r="N91" t="s">
        <v>151</v>
      </c>
      <c r="O91" t="s">
        <v>128</v>
      </c>
      <c r="P91" t="s">
        <v>152</v>
      </c>
      <c r="Q91" t="s">
        <v>23</v>
      </c>
      <c r="S91">
        <v>385.29</v>
      </c>
    </row>
    <row r="92" spans="14:19" x14ac:dyDescent="0.3">
      <c r="N92" t="s">
        <v>171</v>
      </c>
      <c r="O92" t="s">
        <v>172</v>
      </c>
      <c r="P92" t="s">
        <v>126</v>
      </c>
      <c r="Q92" t="s">
        <v>23</v>
      </c>
      <c r="R92" t="s">
        <v>402</v>
      </c>
      <c r="S92">
        <v>989.44</v>
      </c>
    </row>
    <row r="93" spans="14:19" x14ac:dyDescent="0.3">
      <c r="N93" t="s">
        <v>431</v>
      </c>
      <c r="O93" t="s">
        <v>432</v>
      </c>
      <c r="P93" t="s">
        <v>119</v>
      </c>
      <c r="Q93" t="s">
        <v>22</v>
      </c>
      <c r="R93" t="s">
        <v>402</v>
      </c>
      <c r="S93">
        <v>88.83</v>
      </c>
    </row>
    <row r="94" spans="14:19" x14ac:dyDescent="0.3">
      <c r="N94" t="s">
        <v>170</v>
      </c>
      <c r="O94" t="s">
        <v>166</v>
      </c>
      <c r="P94" t="s">
        <v>119</v>
      </c>
      <c r="Q94" t="s">
        <v>22</v>
      </c>
      <c r="R94" t="s">
        <v>402</v>
      </c>
      <c r="S94">
        <v>66.37</v>
      </c>
    </row>
    <row r="95" spans="14:19" x14ac:dyDescent="0.3">
      <c r="N95" t="s">
        <v>198</v>
      </c>
      <c r="O95" t="s">
        <v>196</v>
      </c>
      <c r="P95" t="s">
        <v>160</v>
      </c>
      <c r="Q95" t="s">
        <v>23</v>
      </c>
      <c r="S95">
        <v>652.44000000000005</v>
      </c>
    </row>
    <row r="96" spans="14:19" x14ac:dyDescent="0.3">
      <c r="N96" t="s">
        <v>180</v>
      </c>
      <c r="O96" t="s">
        <v>175</v>
      </c>
      <c r="P96" t="s">
        <v>160</v>
      </c>
      <c r="Q96" t="s">
        <v>23</v>
      </c>
      <c r="S96">
        <v>594.47</v>
      </c>
    </row>
    <row r="97" spans="14:19" x14ac:dyDescent="0.3">
      <c r="N97" t="s">
        <v>217</v>
      </c>
      <c r="O97" t="s">
        <v>214</v>
      </c>
      <c r="P97" t="s">
        <v>160</v>
      </c>
      <c r="Q97" t="s">
        <v>23</v>
      </c>
      <c r="S97">
        <v>650.25</v>
      </c>
    </row>
    <row r="98" spans="14:19" x14ac:dyDescent="0.3">
      <c r="N98" t="s">
        <v>207</v>
      </c>
      <c r="O98" t="s">
        <v>202</v>
      </c>
      <c r="P98" t="s">
        <v>160</v>
      </c>
      <c r="Q98" t="s">
        <v>23</v>
      </c>
      <c r="S98">
        <v>596.88</v>
      </c>
    </row>
    <row r="99" spans="14:19" x14ac:dyDescent="0.3">
      <c r="N99" t="s">
        <v>279</v>
      </c>
      <c r="O99" t="s">
        <v>274</v>
      </c>
      <c r="P99" t="s">
        <v>278</v>
      </c>
      <c r="Q99" t="s">
        <v>23</v>
      </c>
      <c r="R99" t="s">
        <v>416</v>
      </c>
      <c r="S99">
        <v>340.5</v>
      </c>
    </row>
    <row r="100" spans="14:19" x14ac:dyDescent="0.3">
      <c r="N100" t="s">
        <v>190</v>
      </c>
      <c r="O100" t="s">
        <v>179</v>
      </c>
      <c r="P100" t="s">
        <v>191</v>
      </c>
      <c r="Q100" t="s">
        <v>433</v>
      </c>
      <c r="S100">
        <v>6.99</v>
      </c>
    </row>
    <row r="101" spans="14:19" x14ac:dyDescent="0.3">
      <c r="N101" t="s">
        <v>193</v>
      </c>
      <c r="O101" t="s">
        <v>179</v>
      </c>
      <c r="P101" t="s">
        <v>119</v>
      </c>
      <c r="Q101" t="s">
        <v>22</v>
      </c>
      <c r="R101" t="s">
        <v>402</v>
      </c>
      <c r="S101">
        <v>58.11</v>
      </c>
    </row>
    <row r="102" spans="14:19" x14ac:dyDescent="0.3">
      <c r="N102" t="s">
        <v>211</v>
      </c>
      <c r="O102" t="s">
        <v>202</v>
      </c>
      <c r="P102" t="s">
        <v>119</v>
      </c>
      <c r="Q102" t="s">
        <v>22</v>
      </c>
      <c r="R102" t="s">
        <v>402</v>
      </c>
      <c r="S102">
        <v>66.78</v>
      </c>
    </row>
    <row r="103" spans="14:19" x14ac:dyDescent="0.3">
      <c r="N103" t="s">
        <v>240</v>
      </c>
      <c r="O103" t="s">
        <v>241</v>
      </c>
      <c r="P103" t="s">
        <v>126</v>
      </c>
      <c r="Q103" t="s">
        <v>23</v>
      </c>
      <c r="S103">
        <v>404.64</v>
      </c>
    </row>
    <row r="104" spans="14:19" x14ac:dyDescent="0.3">
      <c r="N104" t="s">
        <v>242</v>
      </c>
      <c r="O104" t="s">
        <v>243</v>
      </c>
      <c r="P104" t="s">
        <v>126</v>
      </c>
      <c r="Q104" t="s">
        <v>23</v>
      </c>
      <c r="R104" t="s">
        <v>402</v>
      </c>
      <c r="S104">
        <v>462.16</v>
      </c>
    </row>
    <row r="105" spans="14:19" x14ac:dyDescent="0.3">
      <c r="N105" t="s">
        <v>226</v>
      </c>
      <c r="O105" t="s">
        <v>227</v>
      </c>
      <c r="P105" t="s">
        <v>126</v>
      </c>
      <c r="Q105" t="s">
        <v>23</v>
      </c>
      <c r="S105">
        <v>355.65</v>
      </c>
    </row>
    <row r="106" spans="14:19" x14ac:dyDescent="0.3">
      <c r="N106" t="s">
        <v>228</v>
      </c>
      <c r="O106" t="s">
        <v>229</v>
      </c>
      <c r="P106" t="s">
        <v>126</v>
      </c>
      <c r="Q106" t="s">
        <v>23</v>
      </c>
      <c r="S106">
        <v>412.23</v>
      </c>
    </row>
    <row r="107" spans="14:19" x14ac:dyDescent="0.3">
      <c r="N107" t="s">
        <v>250</v>
      </c>
      <c r="O107" t="s">
        <v>251</v>
      </c>
      <c r="P107" t="s">
        <v>126</v>
      </c>
      <c r="Q107" t="s">
        <v>23</v>
      </c>
      <c r="S107">
        <v>1430.94</v>
      </c>
    </row>
    <row r="108" spans="14:19" x14ac:dyDescent="0.3">
      <c r="N108" t="s">
        <v>262</v>
      </c>
      <c r="O108" t="s">
        <v>263</v>
      </c>
      <c r="P108" t="s">
        <v>125</v>
      </c>
      <c r="Q108" t="s">
        <v>23</v>
      </c>
      <c r="R108" t="s">
        <v>402</v>
      </c>
      <c r="S108">
        <v>1588.39</v>
      </c>
    </row>
    <row r="109" spans="14:19" x14ac:dyDescent="0.3">
      <c r="N109" t="s">
        <v>237</v>
      </c>
      <c r="O109" t="s">
        <v>223</v>
      </c>
      <c r="P109" t="s">
        <v>191</v>
      </c>
      <c r="Q109" t="s">
        <v>434</v>
      </c>
      <c r="S109">
        <v>1.71</v>
      </c>
    </row>
    <row r="110" spans="14:19" x14ac:dyDescent="0.3">
      <c r="N110" t="s">
        <v>259</v>
      </c>
      <c r="O110" t="s">
        <v>249</v>
      </c>
      <c r="P110" t="s">
        <v>119</v>
      </c>
      <c r="Q110" t="s">
        <v>22</v>
      </c>
      <c r="R110" t="s">
        <v>402</v>
      </c>
      <c r="S110">
        <v>59.62</v>
      </c>
    </row>
    <row r="111" spans="14:19" x14ac:dyDescent="0.3">
      <c r="N111" t="s">
        <v>272</v>
      </c>
      <c r="O111" t="s">
        <v>267</v>
      </c>
      <c r="P111" t="s">
        <v>119</v>
      </c>
      <c r="Q111" t="s">
        <v>22</v>
      </c>
      <c r="R111" t="s">
        <v>402</v>
      </c>
      <c r="S111">
        <v>82.64</v>
      </c>
    </row>
    <row r="112" spans="14:19" x14ac:dyDescent="0.3">
      <c r="N112" t="s">
        <v>295</v>
      </c>
      <c r="O112" t="s">
        <v>293</v>
      </c>
      <c r="P112" t="s">
        <v>126</v>
      </c>
      <c r="Q112" t="s">
        <v>435</v>
      </c>
      <c r="R112" t="s">
        <v>412</v>
      </c>
      <c r="S112">
        <v>234.44</v>
      </c>
    </row>
    <row r="113" spans="14:19" x14ac:dyDescent="0.3">
      <c r="N113" t="s">
        <v>311</v>
      </c>
      <c r="O113" t="s">
        <v>339</v>
      </c>
      <c r="P113" t="s">
        <v>126</v>
      </c>
      <c r="Q113" t="s">
        <v>362</v>
      </c>
      <c r="R113" t="s">
        <v>412</v>
      </c>
      <c r="S113">
        <v>276.60000000000002</v>
      </c>
    </row>
    <row r="114" spans="14:19" x14ac:dyDescent="0.3">
      <c r="N114" t="s">
        <v>390</v>
      </c>
      <c r="O114" t="s">
        <v>371</v>
      </c>
      <c r="P114" t="s">
        <v>126</v>
      </c>
      <c r="S114">
        <v>378.46</v>
      </c>
    </row>
    <row r="115" spans="14:19" x14ac:dyDescent="0.3">
      <c r="N115" t="s">
        <v>391</v>
      </c>
      <c r="O115" t="s">
        <v>382</v>
      </c>
      <c r="P115" t="s">
        <v>126</v>
      </c>
      <c r="S115">
        <v>479.85</v>
      </c>
    </row>
    <row r="116" spans="14:19" x14ac:dyDescent="0.3">
      <c r="N116" t="s">
        <v>364</v>
      </c>
      <c r="O116" t="s">
        <v>365</v>
      </c>
      <c r="P116" t="s">
        <v>119</v>
      </c>
      <c r="Q116" t="s">
        <v>22</v>
      </c>
      <c r="R116" t="s">
        <v>402</v>
      </c>
      <c r="S116">
        <v>37.6</v>
      </c>
    </row>
    <row r="117" spans="14:19" x14ac:dyDescent="0.3">
      <c r="N117" t="s">
        <v>127</v>
      </c>
      <c r="O117" t="s">
        <v>128</v>
      </c>
      <c r="P117" t="s">
        <v>129</v>
      </c>
      <c r="Q117" t="s">
        <v>26</v>
      </c>
      <c r="S117">
        <v>9.89</v>
      </c>
    </row>
    <row r="118" spans="14:19" x14ac:dyDescent="0.3">
      <c r="N118" t="s">
        <v>130</v>
      </c>
      <c r="O118" t="s">
        <v>128</v>
      </c>
      <c r="P118" t="s">
        <v>131</v>
      </c>
      <c r="Q118" t="s">
        <v>26</v>
      </c>
      <c r="S118">
        <v>21.67</v>
      </c>
    </row>
    <row r="119" spans="14:19" x14ac:dyDescent="0.3">
      <c r="N119" t="s">
        <v>132</v>
      </c>
      <c r="O119" t="s">
        <v>133</v>
      </c>
      <c r="P119" t="s">
        <v>118</v>
      </c>
      <c r="Q119" t="s">
        <v>26</v>
      </c>
      <c r="S119">
        <v>20.38</v>
      </c>
    </row>
    <row r="120" spans="14:19" x14ac:dyDescent="0.3">
      <c r="N120" t="s">
        <v>134</v>
      </c>
      <c r="O120" t="s">
        <v>135</v>
      </c>
      <c r="P120" t="s">
        <v>118</v>
      </c>
      <c r="Q120" t="s">
        <v>26</v>
      </c>
      <c r="S120">
        <v>17.420000000000002</v>
      </c>
    </row>
    <row r="121" spans="14:19" x14ac:dyDescent="0.3">
      <c r="N121" t="s">
        <v>136</v>
      </c>
      <c r="O121" t="s">
        <v>110</v>
      </c>
      <c r="P121" t="s">
        <v>118</v>
      </c>
      <c r="Q121" t="s">
        <v>26</v>
      </c>
      <c r="S121">
        <v>14.970000000000002</v>
      </c>
    </row>
    <row r="122" spans="14:19" x14ac:dyDescent="0.3">
      <c r="N122" t="s">
        <v>156</v>
      </c>
      <c r="O122" t="s">
        <v>128</v>
      </c>
      <c r="P122" t="s">
        <v>157</v>
      </c>
      <c r="Q122" t="s">
        <v>433</v>
      </c>
      <c r="S122">
        <v>3.07</v>
      </c>
    </row>
    <row r="123" spans="14:19" x14ac:dyDescent="0.3">
      <c r="N123" t="s">
        <v>168</v>
      </c>
      <c r="O123" t="s">
        <v>166</v>
      </c>
      <c r="P123" t="s">
        <v>118</v>
      </c>
      <c r="Q123" t="s">
        <v>26</v>
      </c>
      <c r="S123">
        <v>30.089999999999996</v>
      </c>
    </row>
    <row r="124" spans="14:19" x14ac:dyDescent="0.3">
      <c r="N124" t="s">
        <v>181</v>
      </c>
      <c r="O124" t="s">
        <v>182</v>
      </c>
      <c r="P124" t="s">
        <v>118</v>
      </c>
      <c r="Q124" t="s">
        <v>436</v>
      </c>
      <c r="S124">
        <v>21.63</v>
      </c>
    </row>
    <row r="125" spans="14:19" x14ac:dyDescent="0.3">
      <c r="N125" t="s">
        <v>183</v>
      </c>
      <c r="O125" t="s">
        <v>182</v>
      </c>
      <c r="P125" t="s">
        <v>118</v>
      </c>
      <c r="Q125" t="s">
        <v>437</v>
      </c>
      <c r="S125">
        <v>29.67</v>
      </c>
    </row>
    <row r="126" spans="14:19" x14ac:dyDescent="0.3">
      <c r="N126" t="s">
        <v>230</v>
      </c>
      <c r="O126" t="s">
        <v>223</v>
      </c>
      <c r="P126" t="s">
        <v>118</v>
      </c>
      <c r="Q126" t="s">
        <v>425</v>
      </c>
      <c r="S126">
        <v>9.02</v>
      </c>
    </row>
    <row r="127" spans="14:19" x14ac:dyDescent="0.3">
      <c r="N127" t="s">
        <v>253</v>
      </c>
      <c r="O127" t="s">
        <v>249</v>
      </c>
      <c r="P127" t="s">
        <v>118</v>
      </c>
      <c r="Q127" t="s">
        <v>438</v>
      </c>
      <c r="S127">
        <v>19.05</v>
      </c>
    </row>
    <row r="128" spans="14:19" x14ac:dyDescent="0.3">
      <c r="N128" t="s">
        <v>254</v>
      </c>
      <c r="O128" t="s">
        <v>249</v>
      </c>
      <c r="P128" t="s">
        <v>118</v>
      </c>
      <c r="Q128" t="s">
        <v>439</v>
      </c>
      <c r="S128">
        <v>26.75</v>
      </c>
    </row>
    <row r="129" spans="14:19" x14ac:dyDescent="0.3">
      <c r="N129" t="s">
        <v>269</v>
      </c>
      <c r="O129" t="s">
        <v>267</v>
      </c>
      <c r="P129" t="s">
        <v>118</v>
      </c>
      <c r="Q129" t="s">
        <v>438</v>
      </c>
      <c r="R129" t="s">
        <v>402</v>
      </c>
      <c r="S129">
        <v>18.89</v>
      </c>
    </row>
    <row r="130" spans="14:19" x14ac:dyDescent="0.3">
      <c r="N130" t="s">
        <v>270</v>
      </c>
      <c r="O130" t="s">
        <v>267</v>
      </c>
      <c r="P130" t="s">
        <v>118</v>
      </c>
      <c r="Q130" t="s">
        <v>439</v>
      </c>
      <c r="S130">
        <v>26.75</v>
      </c>
    </row>
    <row r="131" spans="14:19" x14ac:dyDescent="0.3">
      <c r="N131" t="s">
        <v>271</v>
      </c>
      <c r="O131" t="s">
        <v>267</v>
      </c>
      <c r="P131" t="s">
        <v>118</v>
      </c>
      <c r="Q131" t="s">
        <v>426</v>
      </c>
      <c r="R131" t="s">
        <v>402</v>
      </c>
      <c r="S131">
        <v>21.58</v>
      </c>
    </row>
    <row r="132" spans="14:19" x14ac:dyDescent="0.3">
      <c r="N132" t="s">
        <v>366</v>
      </c>
      <c r="O132" t="s">
        <v>365</v>
      </c>
      <c r="P132" t="s">
        <v>118</v>
      </c>
      <c r="S132">
        <v>4.58</v>
      </c>
    </row>
    <row r="133" spans="14:19" x14ac:dyDescent="0.3">
      <c r="N133" t="s">
        <v>367</v>
      </c>
      <c r="O133" t="s">
        <v>365</v>
      </c>
      <c r="P133" t="s">
        <v>118</v>
      </c>
      <c r="S133">
        <v>7.1</v>
      </c>
    </row>
    <row r="134" spans="14:19" x14ac:dyDescent="0.3">
      <c r="N134" t="s">
        <v>148</v>
      </c>
      <c r="O134" t="s">
        <v>128</v>
      </c>
      <c r="P134" t="s">
        <v>137</v>
      </c>
      <c r="Q134" t="s">
        <v>440</v>
      </c>
      <c r="S134">
        <v>88.88</v>
      </c>
    </row>
    <row r="135" spans="14:19" x14ac:dyDescent="0.3">
      <c r="N135" t="s">
        <v>155</v>
      </c>
      <c r="O135" t="s">
        <v>128</v>
      </c>
      <c r="P135" t="s">
        <v>138</v>
      </c>
      <c r="Q135" t="s">
        <v>441</v>
      </c>
      <c r="S135">
        <v>18.239999999999998</v>
      </c>
    </row>
    <row r="136" spans="14:19" x14ac:dyDescent="0.3">
      <c r="N136" t="s">
        <v>149</v>
      </c>
      <c r="O136" t="s">
        <v>128</v>
      </c>
      <c r="P136" t="s">
        <v>150</v>
      </c>
      <c r="Q136" t="s">
        <v>423</v>
      </c>
      <c r="S136">
        <v>239.47</v>
      </c>
    </row>
    <row r="137" spans="14:19" x14ac:dyDescent="0.3">
      <c r="N137" t="s">
        <v>167</v>
      </c>
      <c r="O137" t="s">
        <v>166</v>
      </c>
      <c r="P137" t="s">
        <v>164</v>
      </c>
      <c r="Q137" t="s">
        <v>423</v>
      </c>
      <c r="S137">
        <v>938.4</v>
      </c>
    </row>
    <row r="138" spans="14:19" x14ac:dyDescent="0.3">
      <c r="N138" t="s">
        <v>165</v>
      </c>
      <c r="O138" t="s">
        <v>166</v>
      </c>
      <c r="P138" t="s">
        <v>137</v>
      </c>
      <c r="Q138" t="s">
        <v>440</v>
      </c>
      <c r="S138">
        <v>394.89</v>
      </c>
    </row>
    <row r="139" spans="14:19" x14ac:dyDescent="0.3">
      <c r="N139" t="s">
        <v>186</v>
      </c>
      <c r="O139" t="s">
        <v>175</v>
      </c>
      <c r="P139" t="s">
        <v>138</v>
      </c>
      <c r="Q139" t="s">
        <v>441</v>
      </c>
      <c r="S139">
        <v>8.52</v>
      </c>
    </row>
    <row r="140" spans="14:19" x14ac:dyDescent="0.3">
      <c r="N140" t="s">
        <v>178</v>
      </c>
      <c r="O140" t="s">
        <v>179</v>
      </c>
      <c r="P140" t="s">
        <v>150</v>
      </c>
      <c r="Q140" t="s">
        <v>423</v>
      </c>
      <c r="S140">
        <v>340.01</v>
      </c>
    </row>
    <row r="141" spans="14:19" x14ac:dyDescent="0.3">
      <c r="N141" t="s">
        <v>174</v>
      </c>
      <c r="O141" t="s">
        <v>175</v>
      </c>
      <c r="P141" t="s">
        <v>159</v>
      </c>
      <c r="Q141" t="s">
        <v>422</v>
      </c>
      <c r="S141">
        <v>241.67</v>
      </c>
    </row>
    <row r="142" spans="14:19" x14ac:dyDescent="0.3">
      <c r="N142" t="s">
        <v>176</v>
      </c>
      <c r="O142" t="s">
        <v>175</v>
      </c>
      <c r="P142" t="s">
        <v>159</v>
      </c>
      <c r="Q142" t="s">
        <v>442</v>
      </c>
      <c r="S142">
        <v>240.79</v>
      </c>
    </row>
    <row r="143" spans="14:19" x14ac:dyDescent="0.3">
      <c r="N143" t="s">
        <v>177</v>
      </c>
      <c r="O143" t="s">
        <v>175</v>
      </c>
      <c r="P143" t="s">
        <v>159</v>
      </c>
      <c r="Q143" t="s">
        <v>443</v>
      </c>
      <c r="S143">
        <v>241.27</v>
      </c>
    </row>
    <row r="144" spans="14:19" x14ac:dyDescent="0.3">
      <c r="N144" t="s">
        <v>195</v>
      </c>
      <c r="O144" t="s">
        <v>196</v>
      </c>
      <c r="P144" t="s">
        <v>150</v>
      </c>
      <c r="Q144" t="s">
        <v>422</v>
      </c>
      <c r="S144">
        <v>253.83</v>
      </c>
    </row>
    <row r="145" spans="14:19" x14ac:dyDescent="0.3">
      <c r="N145" t="s">
        <v>197</v>
      </c>
      <c r="O145" t="s">
        <v>196</v>
      </c>
      <c r="P145" t="s">
        <v>150</v>
      </c>
      <c r="Q145" t="s">
        <v>430</v>
      </c>
      <c r="R145" t="s">
        <v>402</v>
      </c>
      <c r="S145">
        <v>249.15</v>
      </c>
    </row>
    <row r="146" spans="14:19" x14ac:dyDescent="0.3">
      <c r="N146" t="s">
        <v>201</v>
      </c>
      <c r="O146" t="s">
        <v>202</v>
      </c>
      <c r="P146" t="s">
        <v>159</v>
      </c>
      <c r="Q146" t="s">
        <v>422</v>
      </c>
      <c r="S146">
        <v>281.2</v>
      </c>
    </row>
    <row r="147" spans="14:19" x14ac:dyDescent="0.3">
      <c r="N147" t="s">
        <v>203</v>
      </c>
      <c r="O147" t="s">
        <v>202</v>
      </c>
      <c r="P147" t="s">
        <v>159</v>
      </c>
      <c r="Q147" t="s">
        <v>442</v>
      </c>
      <c r="S147">
        <v>282.24</v>
      </c>
    </row>
    <row r="148" spans="14:19" x14ac:dyDescent="0.3">
      <c r="N148" t="s">
        <v>204</v>
      </c>
      <c r="O148" t="s">
        <v>202</v>
      </c>
      <c r="P148" t="s">
        <v>159</v>
      </c>
      <c r="Q148" t="s">
        <v>443</v>
      </c>
      <c r="S148">
        <v>285.22000000000003</v>
      </c>
    </row>
    <row r="149" spans="14:19" x14ac:dyDescent="0.3">
      <c r="N149" t="s">
        <v>213</v>
      </c>
      <c r="O149" t="s">
        <v>214</v>
      </c>
      <c r="P149" t="s">
        <v>150</v>
      </c>
      <c r="Q149" t="s">
        <v>422</v>
      </c>
      <c r="R149" t="s">
        <v>402</v>
      </c>
      <c r="S149">
        <v>301.49</v>
      </c>
    </row>
    <row r="150" spans="14:19" x14ac:dyDescent="0.3">
      <c r="N150" t="s">
        <v>215</v>
      </c>
      <c r="O150" t="s">
        <v>214</v>
      </c>
      <c r="P150" t="s">
        <v>150</v>
      </c>
      <c r="Q150" t="s">
        <v>442</v>
      </c>
      <c r="R150" t="s">
        <v>402</v>
      </c>
      <c r="S150">
        <v>303.83999999999997</v>
      </c>
    </row>
    <row r="151" spans="14:19" x14ac:dyDescent="0.3">
      <c r="N151" t="s">
        <v>216</v>
      </c>
      <c r="O151" t="s">
        <v>214</v>
      </c>
      <c r="P151" t="s">
        <v>150</v>
      </c>
      <c r="Q151" t="s">
        <v>443</v>
      </c>
      <c r="S151">
        <v>307.44</v>
      </c>
    </row>
    <row r="152" spans="14:19" x14ac:dyDescent="0.3">
      <c r="N152" t="s">
        <v>205</v>
      </c>
      <c r="O152" t="s">
        <v>206</v>
      </c>
      <c r="P152" t="s">
        <v>150</v>
      </c>
      <c r="Q152" t="s">
        <v>423</v>
      </c>
      <c r="S152">
        <v>454.26</v>
      </c>
    </row>
    <row r="153" spans="14:19" x14ac:dyDescent="0.3">
      <c r="N153" t="s">
        <v>233</v>
      </c>
      <c r="O153" t="s">
        <v>223</v>
      </c>
      <c r="P153" t="s">
        <v>138</v>
      </c>
      <c r="Q153" t="s">
        <v>441</v>
      </c>
      <c r="S153">
        <v>7.22</v>
      </c>
    </row>
    <row r="154" spans="14:19" x14ac:dyDescent="0.3">
      <c r="N154" t="s">
        <v>225</v>
      </c>
      <c r="O154" t="s">
        <v>223</v>
      </c>
      <c r="P154" t="s">
        <v>150</v>
      </c>
      <c r="Q154" t="s">
        <v>423</v>
      </c>
      <c r="S154">
        <v>223.84</v>
      </c>
    </row>
    <row r="155" spans="14:19" x14ac:dyDescent="0.3">
      <c r="N155" t="s">
        <v>222</v>
      </c>
      <c r="O155" t="s">
        <v>223</v>
      </c>
      <c r="P155" t="s">
        <v>159</v>
      </c>
      <c r="Q155" t="s">
        <v>440</v>
      </c>
      <c r="S155">
        <v>193.47</v>
      </c>
    </row>
    <row r="156" spans="14:19" x14ac:dyDescent="0.3">
      <c r="N156" t="s">
        <v>224</v>
      </c>
      <c r="O156" t="s">
        <v>223</v>
      </c>
      <c r="P156" t="s">
        <v>444</v>
      </c>
      <c r="Q156" t="s">
        <v>445</v>
      </c>
      <c r="S156">
        <v>191.03</v>
      </c>
    </row>
    <row r="157" spans="14:19" x14ac:dyDescent="0.3">
      <c r="N157" t="s">
        <v>238</v>
      </c>
      <c r="O157" t="s">
        <v>239</v>
      </c>
      <c r="P157" t="s">
        <v>159</v>
      </c>
      <c r="Q157" t="s">
        <v>440</v>
      </c>
      <c r="S157">
        <v>199.97</v>
      </c>
    </row>
    <row r="158" spans="14:19" x14ac:dyDescent="0.3">
      <c r="N158" t="s">
        <v>252</v>
      </c>
      <c r="O158" t="s">
        <v>247</v>
      </c>
      <c r="P158" t="s">
        <v>138</v>
      </c>
      <c r="Q158" t="s">
        <v>441</v>
      </c>
      <c r="R158" t="s">
        <v>402</v>
      </c>
      <c r="S158">
        <v>11.15</v>
      </c>
    </row>
    <row r="159" spans="14:19" x14ac:dyDescent="0.3">
      <c r="N159" t="s">
        <v>248</v>
      </c>
      <c r="O159" t="s">
        <v>249</v>
      </c>
      <c r="P159" t="s">
        <v>150</v>
      </c>
      <c r="Q159" t="s">
        <v>423</v>
      </c>
      <c r="S159">
        <v>573.66</v>
      </c>
    </row>
    <row r="160" spans="14:19" x14ac:dyDescent="0.3">
      <c r="N160" t="s">
        <v>260</v>
      </c>
      <c r="O160" t="s">
        <v>446</v>
      </c>
      <c r="P160" t="s">
        <v>139</v>
      </c>
      <c r="Q160" t="s">
        <v>440</v>
      </c>
      <c r="S160">
        <v>340.59</v>
      </c>
    </row>
    <row r="161" spans="14:19" x14ac:dyDescent="0.3">
      <c r="N161" t="s">
        <v>246</v>
      </c>
      <c r="O161" t="s">
        <v>247</v>
      </c>
      <c r="P161" t="s">
        <v>159</v>
      </c>
      <c r="Q161" t="s">
        <v>25</v>
      </c>
      <c r="S161">
        <v>336.3</v>
      </c>
    </row>
    <row r="162" spans="14:19" x14ac:dyDescent="0.3">
      <c r="N162" t="s">
        <v>268</v>
      </c>
      <c r="O162" t="s">
        <v>267</v>
      </c>
      <c r="P162" t="s">
        <v>150</v>
      </c>
      <c r="Q162" t="s">
        <v>423</v>
      </c>
      <c r="S162">
        <v>1214.2</v>
      </c>
    </row>
    <row r="163" spans="14:19" x14ac:dyDescent="0.3">
      <c r="N163" t="s">
        <v>266</v>
      </c>
      <c r="O163" t="s">
        <v>267</v>
      </c>
      <c r="P163" t="s">
        <v>137</v>
      </c>
      <c r="Q163" t="s">
        <v>25</v>
      </c>
      <c r="S163">
        <v>437.05</v>
      </c>
    </row>
    <row r="164" spans="14:19" x14ac:dyDescent="0.3">
      <c r="N164" t="s">
        <v>368</v>
      </c>
      <c r="O164" t="s">
        <v>365</v>
      </c>
      <c r="P164" t="s">
        <v>150</v>
      </c>
      <c r="S164">
        <v>111.48</v>
      </c>
    </row>
    <row r="165" spans="14:19" x14ac:dyDescent="0.3">
      <c r="N165" t="s">
        <v>393</v>
      </c>
      <c r="O165" t="s">
        <v>382</v>
      </c>
      <c r="P165" t="s">
        <v>139</v>
      </c>
      <c r="S165">
        <v>33.65</v>
      </c>
    </row>
    <row r="166" spans="14:19" x14ac:dyDescent="0.3">
      <c r="N166" t="s">
        <v>392</v>
      </c>
      <c r="O166" t="s">
        <v>371</v>
      </c>
      <c r="P166" t="s">
        <v>139</v>
      </c>
      <c r="S166">
        <v>31.4</v>
      </c>
    </row>
    <row r="167" spans="14:19" x14ac:dyDescent="0.3">
      <c r="N167" t="s">
        <v>199</v>
      </c>
      <c r="O167" t="s">
        <v>200</v>
      </c>
      <c r="P167" t="s">
        <v>154</v>
      </c>
      <c r="Q167" t="s">
        <v>447</v>
      </c>
      <c r="S167">
        <v>3.27</v>
      </c>
    </row>
    <row r="168" spans="14:19" x14ac:dyDescent="0.3">
      <c r="N168" t="s">
        <v>184</v>
      </c>
      <c r="O168" t="s">
        <v>185</v>
      </c>
      <c r="P168" t="s">
        <v>154</v>
      </c>
      <c r="Q168" t="s">
        <v>448</v>
      </c>
      <c r="S168">
        <v>2.97</v>
      </c>
    </row>
    <row r="169" spans="14:19" x14ac:dyDescent="0.3">
      <c r="N169" t="s">
        <v>153</v>
      </c>
      <c r="O169" t="s">
        <v>128</v>
      </c>
      <c r="P169" t="s">
        <v>154</v>
      </c>
      <c r="Q169" t="s">
        <v>408</v>
      </c>
      <c r="S169">
        <v>1.25</v>
      </c>
    </row>
    <row r="170" spans="14:19" x14ac:dyDescent="0.3">
      <c r="N170" t="s">
        <v>220</v>
      </c>
      <c r="O170" t="s">
        <v>128</v>
      </c>
      <c r="P170" t="s">
        <v>221</v>
      </c>
      <c r="Q170" t="s">
        <v>449</v>
      </c>
      <c r="S170">
        <v>23.14</v>
      </c>
    </row>
    <row r="171" spans="14:19" x14ac:dyDescent="0.3">
      <c r="N171" t="s">
        <v>244</v>
      </c>
      <c r="O171" t="s">
        <v>239</v>
      </c>
      <c r="P171" t="s">
        <v>120</v>
      </c>
      <c r="Q171" t="s">
        <v>408</v>
      </c>
      <c r="R171" t="s">
        <v>402</v>
      </c>
      <c r="S171">
        <v>0.73999999999999988</v>
      </c>
    </row>
    <row r="172" spans="14:19" x14ac:dyDescent="0.3">
      <c r="N172" t="s">
        <v>264</v>
      </c>
      <c r="O172" t="s">
        <v>261</v>
      </c>
      <c r="P172" t="s">
        <v>265</v>
      </c>
      <c r="Q172" t="s">
        <v>408</v>
      </c>
      <c r="R172" t="s">
        <v>402</v>
      </c>
      <c r="S172">
        <v>3.09</v>
      </c>
    </row>
    <row r="173" spans="14:19" x14ac:dyDescent="0.3">
      <c r="N173" t="s">
        <v>255</v>
      </c>
      <c r="O173" t="s">
        <v>256</v>
      </c>
      <c r="P173" t="s">
        <v>154</v>
      </c>
      <c r="Q173" t="s">
        <v>408</v>
      </c>
      <c r="R173" t="s">
        <v>402</v>
      </c>
      <c r="S173">
        <v>2.83</v>
      </c>
    </row>
    <row r="174" spans="14:19" x14ac:dyDescent="0.3">
      <c r="N174" t="s">
        <v>395</v>
      </c>
      <c r="O174" t="s">
        <v>382</v>
      </c>
      <c r="P174" t="s">
        <v>120</v>
      </c>
      <c r="S174">
        <v>0.7</v>
      </c>
    </row>
    <row r="175" spans="14:19" x14ac:dyDescent="0.3">
      <c r="N175" t="s">
        <v>372</v>
      </c>
      <c r="O175" t="s">
        <v>365</v>
      </c>
      <c r="P175" t="s">
        <v>154</v>
      </c>
      <c r="S175">
        <v>1.27</v>
      </c>
    </row>
    <row r="176" spans="14:19" x14ac:dyDescent="0.3">
      <c r="N176" t="s">
        <v>386</v>
      </c>
      <c r="O176" t="s">
        <v>382</v>
      </c>
      <c r="P176" t="s">
        <v>154</v>
      </c>
      <c r="S176">
        <v>0.62</v>
      </c>
    </row>
    <row r="177" spans="14:19" x14ac:dyDescent="0.3">
      <c r="N177" t="s">
        <v>370</v>
      </c>
      <c r="O177" t="s">
        <v>371</v>
      </c>
      <c r="P177" t="s">
        <v>143</v>
      </c>
      <c r="S177">
        <v>0.27</v>
      </c>
    </row>
    <row r="181" spans="14:19" ht="15.6" x14ac:dyDescent="0.3">
      <c r="N181" s="40"/>
    </row>
  </sheetData>
  <autoFilter ref="N2:S177" xr:uid="{00000000-0009-0000-0000-000001000000}"/>
  <sortState xmlns:xlrd2="http://schemas.microsoft.com/office/spreadsheetml/2017/richdata2" ref="N3:S176">
    <sortCondition ref="N3:N176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7"/>
  <sheetViews>
    <sheetView workbookViewId="0">
      <selection activeCell="A6" sqref="A6"/>
    </sheetView>
  </sheetViews>
  <sheetFormatPr defaultRowHeight="14.4" x14ac:dyDescent="0.3"/>
  <cols>
    <col min="1" max="1" width="11.88671875" customWidth="1"/>
    <col min="2" max="2" width="17.6640625" customWidth="1"/>
    <col min="3" max="3" width="32" customWidth="1"/>
    <col min="4" max="4" width="20.88671875" customWidth="1"/>
    <col min="5" max="5" width="16.6640625" customWidth="1"/>
  </cols>
  <sheetData>
    <row r="3" spans="1:5" ht="15" x14ac:dyDescent="0.3">
      <c r="A3" s="54" t="s">
        <v>1</v>
      </c>
      <c r="B3" s="54"/>
      <c r="C3" s="54"/>
      <c r="D3" s="54"/>
      <c r="E3" s="54"/>
    </row>
    <row r="4" spans="1:5" x14ac:dyDescent="0.3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</row>
    <row r="5" spans="1:5" x14ac:dyDescent="0.3">
      <c r="A5" s="4">
        <v>45532</v>
      </c>
      <c r="B5" s="5" t="s">
        <v>7</v>
      </c>
      <c r="C5" s="5" t="s">
        <v>8</v>
      </c>
      <c r="D5" s="5" t="s">
        <v>9</v>
      </c>
      <c r="E5" s="5" t="s">
        <v>10</v>
      </c>
    </row>
    <row r="6" spans="1:5" x14ac:dyDescent="0.3">
      <c r="A6" s="6">
        <v>45978</v>
      </c>
      <c r="B6" s="7" t="s">
        <v>103</v>
      </c>
      <c r="C6" s="8" t="s">
        <v>104</v>
      </c>
      <c r="D6" s="7" t="s">
        <v>9</v>
      </c>
      <c r="E6" s="7" t="s">
        <v>10</v>
      </c>
    </row>
    <row r="7" spans="1:5" ht="15" x14ac:dyDescent="0.25">
      <c r="A7" s="9"/>
      <c r="B7" s="9"/>
      <c r="C7" s="9"/>
      <c r="D7" s="9"/>
      <c r="E7" s="9"/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3"/>
  <sheetViews>
    <sheetView zoomScale="75" zoomScaleNormal="75" workbookViewId="0">
      <selection activeCell="H13" sqref="H13"/>
    </sheetView>
  </sheetViews>
  <sheetFormatPr defaultRowHeight="14.4" x14ac:dyDescent="0.3"/>
  <cols>
    <col min="2" max="2" width="14.109375" customWidth="1"/>
    <col min="3" max="3" width="2" customWidth="1"/>
    <col min="4" max="4" width="5" customWidth="1"/>
    <col min="5" max="5" width="16.109375" style="28" customWidth="1"/>
    <col min="6" max="6" width="26" customWidth="1"/>
    <col min="7" max="7" width="11.5546875" style="28" customWidth="1"/>
    <col min="8" max="8" width="24" style="28" bestFit="1" customWidth="1"/>
    <col min="9" max="9" width="17.33203125" style="28" customWidth="1"/>
    <col min="11" max="11" width="9.109375" style="32" customWidth="1"/>
    <col min="12" max="12" width="14.44140625" style="32" customWidth="1"/>
    <col min="13" max="13" width="18.6640625" style="37" customWidth="1"/>
    <col min="14" max="14" width="57.5546875" style="28" customWidth="1"/>
  </cols>
  <sheetData>
    <row r="1" spans="1:14" ht="23.25" x14ac:dyDescent="0.35">
      <c r="A1" s="21" t="s">
        <v>336</v>
      </c>
      <c r="B1" s="22"/>
      <c r="L1" s="36">
        <f ca="1">SUBTOTAL(9,L6:L100)</f>
        <v>0</v>
      </c>
    </row>
    <row r="2" spans="1:14" ht="15" x14ac:dyDescent="0.25">
      <c r="A2" s="13"/>
    </row>
    <row r="3" spans="1:14" ht="15" x14ac:dyDescent="0.25">
      <c r="A3" s="13"/>
    </row>
    <row r="4" spans="1:14" ht="16.5" x14ac:dyDescent="0.3">
      <c r="A4" s="16"/>
      <c r="B4" s="23"/>
      <c r="C4" s="14"/>
      <c r="D4" s="14"/>
      <c r="E4" s="29"/>
      <c r="F4" s="14"/>
      <c r="G4" s="29"/>
      <c r="H4" s="29"/>
      <c r="I4" s="29"/>
      <c r="J4" s="14"/>
      <c r="K4" s="33"/>
      <c r="L4" s="33"/>
      <c r="M4" s="20"/>
      <c r="N4" s="29"/>
    </row>
    <row r="5" spans="1:14" ht="16.8" x14ac:dyDescent="0.4">
      <c r="A5" s="16" t="s">
        <v>326</v>
      </c>
      <c r="B5" s="24">
        <f ca="1">TODAY()</f>
        <v>46062</v>
      </c>
      <c r="C5" s="15"/>
      <c r="D5" s="17" t="s">
        <v>456</v>
      </c>
      <c r="E5" s="49" t="s">
        <v>20</v>
      </c>
      <c r="F5" s="18" t="s">
        <v>19</v>
      </c>
      <c r="G5" s="30" t="s">
        <v>21</v>
      </c>
      <c r="H5" s="30" t="s">
        <v>30</v>
      </c>
      <c r="I5" s="30"/>
      <c r="J5" s="18" t="s">
        <v>75</v>
      </c>
      <c r="K5" s="34" t="s">
        <v>397</v>
      </c>
      <c r="L5" s="34" t="s">
        <v>451</v>
      </c>
      <c r="M5" s="38" t="s">
        <v>39</v>
      </c>
      <c r="N5" s="30" t="s">
        <v>40</v>
      </c>
    </row>
    <row r="6" spans="1:14" ht="16.8" x14ac:dyDescent="0.4">
      <c r="D6" s="44" t="str">
        <f ca="1">IF(E6="","",1)</f>
        <v/>
      </c>
      <c r="E6" s="44" t="str">
        <f ca="1">IFERROR(INDEX(FORPTB13!$F$4:$F$580,_xlfn.AGGREGATE(15,6,(ROW(FORPTB13!$B$4:$B$580)-ROW(FORPTB13!#REF!)+1)/((FORPTB13!$B$4:$B$580=$B$5)),ROW(FORPTB13!V1))),"")</f>
        <v/>
      </c>
      <c r="F6" s="44" t="str">
        <f ca="1">IFERROR(INDEX(FORPTB13!$H$4:$H$580,_xlfn.AGGREGATE(15,6,(ROW(FORPTB13!$B$4:$B$580)-ROW(FORPTB13!#REF!)+1)/((FORPTB13!$B$4:$B$580=$B$5)),ROW(FORPTB13!W1))),"")</f>
        <v/>
      </c>
      <c r="G6" s="44" t="str">
        <f ca="1">IFERROR(INDEX(FORPTB13!$J$4:$J$580,_xlfn.AGGREGATE(15,6,(ROW(FORPTB13!$B$4:$B$580)-ROW(FORPTB13!#REF!)+1)/((FORPTB13!$B$4:$B$580=$B$5)),ROW(FORPTB13!X1))),"")</f>
        <v/>
      </c>
      <c r="H6" s="44" t="str">
        <f ca="1">IFERROR(INDEX(FORPTB13!$K$4:$K$580,_xlfn.AGGREGATE(15,6,(ROW(FORPTB13!$B$4:$B$580)-ROW(FORPTB13!#REF!)+1)/((FORPTB13!$B$4:$B$580=$B$5)),ROW(FORPTB13!Y1))),"")</f>
        <v/>
      </c>
      <c r="I6" s="44" t="str">
        <f ca="1">IFERROR(INDEX(FORPTB13!$T$4:$T$580,_xlfn.AGGREGATE(15,6,(ROW(FORPTB13!$B$4:$B$580)-ROW(FORPTB13!#REF!)+1)/((FORPTB13!$B$4:$B$580=$B$5)),ROW(FORPTB13!Z1))),"")</f>
        <v/>
      </c>
      <c r="J6" s="46" t="str">
        <f ca="1">IFERROR(INDEX(FORPTB13!$I$4:$I$580,_xlfn.AGGREGATE(15,6,(ROW(FORPTB13!$B$4:$B$580)-ROW(FORPTB13!#REF!)+1)/((FORPTB13!$B$4:$B$580=$B$5)),ROW(FORPTB13!Z1))),"")</f>
        <v/>
      </c>
      <c r="K6" s="45" t="str">
        <f ca="1">IFERROR(INDEX(FORPTB13!$N$4:$N$580,_xlfn.AGGREGATE(15,6,(ROW(FORPTB13!$B$4:$B$580)-ROW(FORPTB13!#REF!)+1)/((FORPTB13!$B$4:$B$580=$B$5)),ROW(FORPTB13!AA1))),"")</f>
        <v/>
      </c>
      <c r="L6" s="45" t="str">
        <f ca="1">IFERROR(J6*K6,"  ")</f>
        <v xml:space="preserve">  </v>
      </c>
      <c r="M6" s="46" t="str">
        <f ca="1">IFERROR(INDEX(FORPTB13!$L$4:$L$580,_xlfn.AGGREGATE(15,6,(ROW(FORPTB13!$B$4:$B$580)-ROW(FORPTB13!#REF!)+1)/((FORPTB13!$B$4:$B$580=$B$5)),ROW(FORPTB13!AC1))),"")</f>
        <v/>
      </c>
      <c r="N6" s="44" t="str">
        <f ca="1">IFERROR(INDEX(FORPTB13!$M$4:$M$580,_xlfn.AGGREGATE(15,6,(ROW(FORPTB13!$B$4:$B$580)-ROW(FORPTB13!#REF!)+1)/((FORPTB13!$B$4:$B$580=$B$5)),ROW(FORPTB13!AD1))),"")</f>
        <v/>
      </c>
    </row>
    <row r="7" spans="1:14" ht="16.5" x14ac:dyDescent="0.3">
      <c r="D7" s="41" t="str">
        <f ca="1">IF(E6="","",D6+1)</f>
        <v/>
      </c>
      <c r="E7" s="41" t="str">
        <f ca="1">IFERROR(INDEX(FORPTB13!$F$4:$F$580,_xlfn.AGGREGATE(15,6,(ROW(FORPTB13!$B$4:$B$580)-ROW(FORPTB13!#REF!)+1)/((FORPTB13!$B$4:$B$580=$B$5)),ROW(FORPTB13!V2))),"")</f>
        <v/>
      </c>
      <c r="F7" s="47" t="str">
        <f ca="1">IFERROR(INDEX(FORPTB13!$H$4:$H$580,_xlfn.AGGREGATE(15,6,(ROW(FORPTB13!$B$4:$B$580)-ROW(FORPTB13!#REF!)+1)/((FORPTB13!$B$4:$B$580=$B$5)),ROW(FORPTB13!W2))),"")</f>
        <v/>
      </c>
      <c r="G7" s="41" t="str">
        <f ca="1">IFERROR(INDEX(FORPTB13!$J$4:$J$580,_xlfn.AGGREGATE(15,6,(ROW(FORPTB13!$B$4:$B$580)-ROW(FORPTB13!#REF!)+1)/((FORPTB13!$B$4:$B$580=$B$5)),ROW(FORPTB13!X2))),"")</f>
        <v/>
      </c>
      <c r="H7" s="41" t="str">
        <f ca="1">IFERROR(INDEX(FORPTB13!$K$4:$K$580,_xlfn.AGGREGATE(15,6,(ROW(FORPTB13!$B$4:$B$580)-ROW(FORPTB13!#REF!)+1)/((FORPTB13!$B$4:$B$580=$B$5)),ROW(FORPTB13!Y2))),"")</f>
        <v/>
      </c>
      <c r="I7" s="41" t="str">
        <f ca="1">IFERROR(INDEX(FORPTB13!$T$4:$T$580,_xlfn.AGGREGATE(15,6,(ROW(FORPTB13!$B$4:$B$580)-ROW(FORPTB13!#REF!)+1)/((FORPTB13!$B$4:$B$580=$B$5)),ROW(FORPTB13!Z2))),"")</f>
        <v/>
      </c>
      <c r="J7" s="43" t="str">
        <f ca="1">IFERROR(INDEX(FORPTB13!$I$4:$I$580,_xlfn.AGGREGATE(15,6,(ROW(FORPTB13!$B$4:$B$580)-ROW(FORPTB13!#REF!)+1)/((FORPTB13!$B$4:$B$580=$B$5)),ROW(FORPTB13!Z2))),"")</f>
        <v/>
      </c>
      <c r="K7" s="42" t="str">
        <f ca="1">IFERROR(INDEX(FORPTB13!$N$4:$N$580,_xlfn.AGGREGATE(15,6,(ROW(FORPTB13!$B$4:$B$580)-ROW(FORPTB13!#REF!)+1)/((FORPTB13!$B$4:$B$580=$B$5)),ROW(FORPTB13!AA2))),"")</f>
        <v/>
      </c>
      <c r="L7" s="42" t="str">
        <f t="shared" ref="L7" ca="1" si="0">IFERROR(J7*K7,"  ")</f>
        <v xml:space="preserve">  </v>
      </c>
      <c r="M7" s="43" t="str">
        <f ca="1">IFERROR(INDEX(FORPTB13!$L$4:$L$580,_xlfn.AGGREGATE(15,6,(ROW(FORPTB13!$B$4:$B$580)-ROW(FORPTB13!#REF!)+1)/((FORPTB13!$B$4:$B$580=$B$5)),ROW(FORPTB13!AC2))),"")</f>
        <v/>
      </c>
      <c r="N7" s="41" t="str">
        <f ca="1">IFERROR(INDEX(FORPTB13!$M$4:$M$580,_xlfn.AGGREGATE(15,6,(ROW(FORPTB13!$B$4:$B$580)-ROW(FORPTB13!#REF!)+1)/((FORPTB13!$B$4:$B$580=$B$5)),ROW(FORPTB13!AD2))),"")</f>
        <v/>
      </c>
    </row>
    <row r="8" spans="1:14" ht="16.5" x14ac:dyDescent="0.3">
      <c r="D8" s="44" t="str">
        <f ca="1">IF(E7="","",D7+1)</f>
        <v/>
      </c>
      <c r="E8" s="44" t="str">
        <f ca="1">IFERROR(INDEX(FORPTB13!$F$4:$F$580,_xlfn.AGGREGATE(15,6,(ROW(FORPTB13!$B$4:$B$580)-ROW(FORPTB13!#REF!)+1)/((FORPTB13!$B$4:$B$580=$B$5)),ROW(FORPTB13!V3))),"")</f>
        <v/>
      </c>
      <c r="F8" s="44" t="str">
        <f ca="1">IFERROR(INDEX(FORPTB13!$H$4:$H$580,_xlfn.AGGREGATE(15,6,(ROW(FORPTB13!$B$4:$B$580)-ROW(FORPTB13!#REF!)+1)/((FORPTB13!$B$4:$B$580=$B$5)),ROW(FORPTB13!W3))),"")</f>
        <v/>
      </c>
      <c r="G8" s="44" t="str">
        <f ca="1">IFERROR(INDEX(FORPTB13!$J$4:$J$580,_xlfn.AGGREGATE(15,6,(ROW(FORPTB13!$B$4:$B$580)-ROW(FORPTB13!#REF!)+1)/((FORPTB13!$B$4:$B$580=$B$5)),ROW(FORPTB13!X3))),"")</f>
        <v/>
      </c>
      <c r="H8" s="44" t="str">
        <f ca="1">IFERROR(INDEX(FORPTB13!$K$4:$K$580,_xlfn.AGGREGATE(15,6,(ROW(FORPTB13!$B$4:$B$580)-ROW(FORPTB13!#REF!)+1)/((FORPTB13!$B$4:$B$580=$B$5)),ROW(FORPTB13!Y3))),"")</f>
        <v/>
      </c>
      <c r="I8" s="44" t="str">
        <f ca="1">IFERROR(INDEX(FORPTB13!$T$4:$T$580,_xlfn.AGGREGATE(15,6,(ROW(FORPTB13!$B$4:$B$580)-ROW(FORPTB13!#REF!)+1)/((FORPTB13!$B$4:$B$580=$B$5)),ROW(FORPTB13!Z3))),"")</f>
        <v/>
      </c>
      <c r="J8" s="46" t="str">
        <f ca="1">IFERROR(INDEX(FORPTB13!$I$4:$I$580,_xlfn.AGGREGATE(15,6,(ROW(FORPTB13!$B$4:$B$580)-ROW(FORPTB13!#REF!)+1)/((FORPTB13!$B$4:$B$580=$B$5)),ROW(FORPTB13!Z3))),"")</f>
        <v/>
      </c>
      <c r="K8" s="45" t="str">
        <f ca="1">IFERROR(INDEX(FORPTB13!$N$4:$N$580,_xlfn.AGGREGATE(15,6,(ROW(FORPTB13!$B$4:$B$580)-ROW(FORPTB13!#REF!)+1)/((FORPTB13!$B$4:$B$580=$B$5)),ROW(FORPTB13!AA3))),"")</f>
        <v/>
      </c>
      <c r="L8" s="45" t="str">
        <f t="shared" ref="L8:L71" ca="1" si="1">IFERROR(J8*K8,"  ")</f>
        <v xml:space="preserve">  </v>
      </c>
      <c r="M8" s="46" t="str">
        <f ca="1">IFERROR(INDEX(FORPTB13!$L$4:$L$580,_xlfn.AGGREGATE(15,6,(ROW(FORPTB13!$B$4:$B$580)-ROW(FORPTB13!#REF!)+1)/((FORPTB13!$B$4:$B$580=$B$5)),ROW(FORPTB13!AC3))),"")</f>
        <v/>
      </c>
      <c r="N8" s="44" t="str">
        <f ca="1">IFERROR(INDEX(FORPTB13!$M$4:$M$580,_xlfn.AGGREGATE(15,6,(ROW(FORPTB13!$B$4:$B$580)-ROW(FORPTB13!#REF!)+1)/((FORPTB13!$B$4:$B$580=$B$5)),ROW(FORPTB13!AD3))),"")</f>
        <v/>
      </c>
    </row>
    <row r="9" spans="1:14" ht="16.5" x14ac:dyDescent="0.3">
      <c r="D9" s="41" t="str">
        <f t="shared" ref="D9:D71" ca="1" si="2">IF(D8="","",D8+1)</f>
        <v/>
      </c>
      <c r="E9" s="41" t="str">
        <f ca="1">IFERROR(INDEX(FORPTB13!$F$4:$F$580,_xlfn.AGGREGATE(15,6,(ROW(FORPTB13!$B$4:$B$580)-ROW(FORPTB13!#REF!)+1)/((FORPTB13!$B$4:$B$580=$B$5)),ROW(FORPTB13!#REF!))),"")</f>
        <v/>
      </c>
      <c r="F9" s="47" t="str">
        <f ca="1">IFERROR(INDEX(FORPTB13!$H$4:$H$580,_xlfn.AGGREGATE(15,6,(ROW(FORPTB13!$B$4:$B$580)-ROW(FORPTB13!#REF!)+1)/((FORPTB13!$B$4:$B$580=$B$5)),ROW(FORPTB13!#REF!))),"")</f>
        <v/>
      </c>
      <c r="G9" s="41" t="str">
        <f ca="1">IFERROR(INDEX(FORPTB13!$J$4:$J$580,_xlfn.AGGREGATE(15,6,(ROW(FORPTB13!$B$4:$B$580)-ROW(FORPTB13!#REF!)+1)/((FORPTB13!$B$4:$B$580=$B$5)),ROW(FORPTB13!#REF!))),"")</f>
        <v/>
      </c>
      <c r="H9" s="41" t="str">
        <f ca="1">IFERROR(INDEX(FORPTB13!$K$4:$K$580,_xlfn.AGGREGATE(15,6,(ROW(FORPTB13!$B$4:$B$580)-ROW(FORPTB13!#REF!)+1)/((FORPTB13!$B$4:$B$580=$B$5)),ROW(FORPTB13!#REF!))),"")</f>
        <v/>
      </c>
      <c r="I9" s="41" t="str">
        <f ca="1">IFERROR(INDEX(FORPTB13!$T$4:$T$580,_xlfn.AGGREGATE(15,6,(ROW(FORPTB13!$B$4:$B$580)-ROW(FORPTB13!#REF!)+1)/((FORPTB13!$B$4:$B$580=$B$5)),ROW(FORPTB13!#REF!))),"")</f>
        <v/>
      </c>
      <c r="J9" s="43" t="str">
        <f ca="1">IFERROR(INDEX(FORPTB13!$I$4:$I$580,_xlfn.AGGREGATE(15,6,(ROW(FORPTB13!$B$4:$B$580)-ROW(FORPTB13!#REF!)+1)/((FORPTB13!$B$4:$B$580=$B$5)),ROW(FORPTB13!#REF!))),"")</f>
        <v/>
      </c>
      <c r="K9" s="42" t="str">
        <f ca="1">IFERROR(INDEX(FORPTB13!$N$4:$N$580,_xlfn.AGGREGATE(15,6,(ROW(FORPTB13!$B$4:$B$580)-ROW(FORPTB13!#REF!)+1)/((FORPTB13!$B$4:$B$580=$B$5)),ROW(FORPTB13!#REF!))),"")</f>
        <v/>
      </c>
      <c r="L9" s="42" t="str">
        <f t="shared" ca="1" si="1"/>
        <v xml:space="preserve">  </v>
      </c>
      <c r="M9" s="43" t="str">
        <f ca="1">IFERROR(INDEX(FORPTB13!$L$4:$L$580,_xlfn.AGGREGATE(15,6,(ROW(FORPTB13!$B$4:$B$580)-ROW(FORPTB13!#REF!)+1)/((FORPTB13!$B$4:$B$580=$B$5)),ROW(FORPTB13!#REF!))),"")</f>
        <v/>
      </c>
      <c r="N9" s="41" t="str">
        <f ca="1">IFERROR(INDEX(FORPTB13!$M$4:$M$580,_xlfn.AGGREGATE(15,6,(ROW(FORPTB13!$B$4:$B$580)-ROW(FORPTB13!#REF!)+1)/((FORPTB13!$B$4:$B$580=$B$5)),ROW(FORPTB13!#REF!))),"")</f>
        <v/>
      </c>
    </row>
    <row r="10" spans="1:14" ht="16.5" x14ac:dyDescent="0.3">
      <c r="D10" s="44" t="str">
        <f t="shared" ca="1" si="2"/>
        <v/>
      </c>
      <c r="E10" s="44" t="str">
        <f ca="1">IFERROR(INDEX(FORPTB13!$F$4:$F$580,_xlfn.AGGREGATE(15,6,(ROW(FORPTB13!$B$4:$B$580)-ROW(FORPTB13!#REF!)+1)/((FORPTB13!$B$4:$B$580=$B$5)),ROW(FORPTB13!#REF!))),"")</f>
        <v/>
      </c>
      <c r="F10" s="44" t="str">
        <f ca="1">IFERROR(INDEX(FORPTB13!$H$4:$H$580,_xlfn.AGGREGATE(15,6,(ROW(FORPTB13!$B$4:$B$580)-ROW(FORPTB13!#REF!)+1)/((FORPTB13!$B$4:$B$580=$B$5)),ROW(FORPTB13!#REF!))),"")</f>
        <v/>
      </c>
      <c r="G10" s="44" t="str">
        <f ca="1">IFERROR(INDEX(FORPTB13!$J$4:$J$580,_xlfn.AGGREGATE(15,6,(ROW(FORPTB13!$B$4:$B$580)-ROW(FORPTB13!#REF!)+1)/((FORPTB13!$B$4:$B$580=$B$5)),ROW(FORPTB13!#REF!))),"")</f>
        <v/>
      </c>
      <c r="H10" s="44" t="str">
        <f ca="1">IFERROR(INDEX(FORPTB13!$K$4:$K$580,_xlfn.AGGREGATE(15,6,(ROW(FORPTB13!$B$4:$B$580)-ROW(FORPTB13!#REF!)+1)/((FORPTB13!$B$4:$B$580=$B$5)),ROW(FORPTB13!#REF!))),"")</f>
        <v/>
      </c>
      <c r="I10" s="44" t="str">
        <f ca="1">IFERROR(INDEX(FORPTB13!$T$4:$T$580,_xlfn.AGGREGATE(15,6,(ROW(FORPTB13!$B$4:$B$580)-ROW(FORPTB13!#REF!)+1)/((FORPTB13!$B$4:$B$580=$B$5)),ROW(FORPTB13!#REF!))),"")</f>
        <v/>
      </c>
      <c r="J10" s="46" t="str">
        <f ca="1">IFERROR(INDEX(FORPTB13!$I$4:$I$580,_xlfn.AGGREGATE(15,6,(ROW(FORPTB13!$B$4:$B$580)-ROW(FORPTB13!#REF!)+1)/((FORPTB13!$B$4:$B$580=$B$5)),ROW(FORPTB13!#REF!))),"")</f>
        <v/>
      </c>
      <c r="K10" s="45" t="str">
        <f ca="1">IFERROR(INDEX(FORPTB13!$N$4:$N$580,_xlfn.AGGREGATE(15,6,(ROW(FORPTB13!$B$4:$B$580)-ROW(FORPTB13!#REF!)+1)/((FORPTB13!$B$4:$B$580=$B$5)),ROW(FORPTB13!#REF!))),"")</f>
        <v/>
      </c>
      <c r="L10" s="45" t="str">
        <f t="shared" ca="1" si="1"/>
        <v xml:space="preserve">  </v>
      </c>
      <c r="M10" s="46" t="str">
        <f ca="1">IFERROR(INDEX(FORPTB13!$L$4:$L$580,_xlfn.AGGREGATE(15,6,(ROW(FORPTB13!$B$4:$B$580)-ROW(FORPTB13!#REF!)+1)/((FORPTB13!$B$4:$B$580=$B$5)),ROW(FORPTB13!#REF!))),"")</f>
        <v/>
      </c>
      <c r="N10" s="44" t="str">
        <f ca="1">IFERROR(INDEX(FORPTB13!$M$4:$M$580,_xlfn.AGGREGATE(15,6,(ROW(FORPTB13!$B$4:$B$580)-ROW(FORPTB13!#REF!)+1)/((FORPTB13!$B$4:$B$580=$B$5)),ROW(FORPTB13!#REF!))),"")</f>
        <v/>
      </c>
    </row>
    <row r="11" spans="1:14" ht="16.5" x14ac:dyDescent="0.3">
      <c r="D11" s="41" t="str">
        <f t="shared" ca="1" si="2"/>
        <v/>
      </c>
      <c r="E11" s="41" t="str">
        <f ca="1">IFERROR(INDEX(FORPTB13!$F$4:$F$580,_xlfn.AGGREGATE(15,6,(ROW(FORPTB13!$B$4:$B$580)-ROW(FORPTB13!#REF!)+1)/((FORPTB13!$B$4:$B$580=$B$5)),ROW(FORPTB13!#REF!))),"")</f>
        <v/>
      </c>
      <c r="F11" s="47" t="str">
        <f ca="1">IFERROR(INDEX(FORPTB13!$H$4:$H$580,_xlfn.AGGREGATE(15,6,(ROW(FORPTB13!$B$4:$B$580)-ROW(FORPTB13!#REF!)+1)/((FORPTB13!$B$4:$B$580=$B$5)),ROW(FORPTB13!#REF!))),"")</f>
        <v/>
      </c>
      <c r="G11" s="41" t="str">
        <f ca="1">IFERROR(INDEX(FORPTB13!$J$4:$J$580,_xlfn.AGGREGATE(15,6,(ROW(FORPTB13!$B$4:$B$580)-ROW(FORPTB13!#REF!)+1)/((FORPTB13!$B$4:$B$580=$B$5)),ROW(FORPTB13!#REF!))),"")</f>
        <v/>
      </c>
      <c r="H11" s="41" t="str">
        <f ca="1">IFERROR(INDEX(FORPTB13!$K$4:$K$580,_xlfn.AGGREGATE(15,6,(ROW(FORPTB13!$B$4:$B$580)-ROW(FORPTB13!#REF!)+1)/((FORPTB13!$B$4:$B$580=$B$5)),ROW(FORPTB13!#REF!))),"")</f>
        <v/>
      </c>
      <c r="I11" s="41" t="str">
        <f ca="1">IFERROR(INDEX(FORPTB13!$T$4:$T$580,_xlfn.AGGREGATE(15,6,(ROW(FORPTB13!$B$4:$B$580)-ROW(FORPTB13!#REF!)+1)/((FORPTB13!$B$4:$B$580=$B$5)),ROW(FORPTB13!#REF!))),"")</f>
        <v/>
      </c>
      <c r="J11" s="43" t="str">
        <f ca="1">IFERROR(INDEX(FORPTB13!$I$4:$I$580,_xlfn.AGGREGATE(15,6,(ROW(FORPTB13!$B$4:$B$580)-ROW(FORPTB13!#REF!)+1)/((FORPTB13!$B$4:$B$580=$B$5)),ROW(FORPTB13!#REF!))),"")</f>
        <v/>
      </c>
      <c r="K11" s="42" t="str">
        <f ca="1">IFERROR(INDEX(FORPTB13!$N$4:$N$580,_xlfn.AGGREGATE(15,6,(ROW(FORPTB13!$B$4:$B$580)-ROW(FORPTB13!#REF!)+1)/((FORPTB13!$B$4:$B$580=$B$5)),ROW(FORPTB13!#REF!))),"")</f>
        <v/>
      </c>
      <c r="L11" s="42" t="str">
        <f t="shared" ca="1" si="1"/>
        <v xml:space="preserve">  </v>
      </c>
      <c r="M11" s="43" t="str">
        <f ca="1">IFERROR(INDEX(FORPTB13!$L$4:$L$580,_xlfn.AGGREGATE(15,6,(ROW(FORPTB13!$B$4:$B$580)-ROW(FORPTB13!#REF!)+1)/((FORPTB13!$B$4:$B$580=$B$5)),ROW(FORPTB13!#REF!))),"")</f>
        <v/>
      </c>
      <c r="N11" s="41" t="str">
        <f ca="1">IFERROR(INDEX(FORPTB13!$M$4:$M$580,_xlfn.AGGREGATE(15,6,(ROW(FORPTB13!$B$4:$B$580)-ROW(FORPTB13!#REF!)+1)/((FORPTB13!$B$4:$B$580=$B$5)),ROW(FORPTB13!#REF!))),"")</f>
        <v/>
      </c>
    </row>
    <row r="12" spans="1:14" ht="16.5" x14ac:dyDescent="0.3">
      <c r="D12" s="44" t="str">
        <f t="shared" ca="1" si="2"/>
        <v/>
      </c>
      <c r="E12" s="44" t="str">
        <f ca="1">IFERROR(INDEX(FORPTB13!$F$4:$F$580,_xlfn.AGGREGATE(15,6,(ROW(FORPTB13!$B$4:$B$580)-ROW(FORPTB13!#REF!)+1)/((FORPTB13!$B$4:$B$580=$B$5)),ROW(FORPTB13!#REF!))),"")</f>
        <v/>
      </c>
      <c r="F12" s="44" t="str">
        <f ca="1">IFERROR(INDEX(FORPTB13!$H$4:$H$580,_xlfn.AGGREGATE(15,6,(ROW(FORPTB13!$B$4:$B$580)-ROW(FORPTB13!#REF!)+1)/((FORPTB13!$B$4:$B$580=$B$5)),ROW(FORPTB13!#REF!))),"")</f>
        <v/>
      </c>
      <c r="G12" s="44" t="str">
        <f ca="1">IFERROR(INDEX(FORPTB13!$J$4:$J$580,_xlfn.AGGREGATE(15,6,(ROW(FORPTB13!$B$4:$B$580)-ROW(FORPTB13!#REF!)+1)/((FORPTB13!$B$4:$B$580=$B$5)),ROW(FORPTB13!#REF!))),"")</f>
        <v/>
      </c>
      <c r="H12" s="44" t="str">
        <f ca="1">IFERROR(INDEX(FORPTB13!$K$4:$K$580,_xlfn.AGGREGATE(15,6,(ROW(FORPTB13!$B$4:$B$580)-ROW(FORPTB13!#REF!)+1)/((FORPTB13!$B$4:$B$580=$B$5)),ROW(FORPTB13!#REF!))),"")</f>
        <v/>
      </c>
      <c r="I12" s="44" t="str">
        <f ca="1">IFERROR(INDEX(FORPTB13!$T$4:$T$580,_xlfn.AGGREGATE(15,6,(ROW(FORPTB13!$B$4:$B$580)-ROW(FORPTB13!#REF!)+1)/((FORPTB13!$B$4:$B$580=$B$5)),ROW(FORPTB13!#REF!))),"")</f>
        <v/>
      </c>
      <c r="J12" s="46" t="str">
        <f ca="1">IFERROR(INDEX(FORPTB13!$I$4:$I$580,_xlfn.AGGREGATE(15,6,(ROW(FORPTB13!$B$4:$B$580)-ROW(FORPTB13!#REF!)+1)/((FORPTB13!$B$4:$B$580=$B$5)),ROW(FORPTB13!#REF!))),"")</f>
        <v/>
      </c>
      <c r="K12" s="45" t="str">
        <f ca="1">IFERROR(INDEX(FORPTB13!$N$4:$N$580,_xlfn.AGGREGATE(15,6,(ROW(FORPTB13!$B$4:$B$580)-ROW(FORPTB13!#REF!)+1)/((FORPTB13!$B$4:$B$580=$B$5)),ROW(FORPTB13!#REF!))),"")</f>
        <v/>
      </c>
      <c r="L12" s="45" t="str">
        <f t="shared" ca="1" si="1"/>
        <v xml:space="preserve">  </v>
      </c>
      <c r="M12" s="46" t="str">
        <f ca="1">IFERROR(INDEX(FORPTB13!$L$4:$L$580,_xlfn.AGGREGATE(15,6,(ROW(FORPTB13!$B$4:$B$580)-ROW(FORPTB13!#REF!)+1)/((FORPTB13!$B$4:$B$580=$B$5)),ROW(FORPTB13!#REF!))),"")</f>
        <v/>
      </c>
      <c r="N12" s="44" t="str">
        <f ca="1">IFERROR(INDEX(FORPTB13!$M$4:$M$580,_xlfn.AGGREGATE(15,6,(ROW(FORPTB13!$B$4:$B$580)-ROW(FORPTB13!#REF!)+1)/((FORPTB13!$B$4:$B$580=$B$5)),ROW(FORPTB13!#REF!))),"")</f>
        <v/>
      </c>
    </row>
    <row r="13" spans="1:14" ht="16.5" x14ac:dyDescent="0.3">
      <c r="D13" s="41" t="str">
        <f t="shared" ca="1" si="2"/>
        <v/>
      </c>
      <c r="E13" s="41" t="str">
        <f ca="1">IFERROR(INDEX(FORPTB13!$F$4:$F$580,_xlfn.AGGREGATE(15,6,(ROW(FORPTB13!$B$4:$B$580)-ROW(FORPTB13!#REF!)+1)/((FORPTB13!$B$4:$B$580=$B$5)),ROW(FORPTB13!#REF!))),"")</f>
        <v/>
      </c>
      <c r="F13" s="47" t="str">
        <f ca="1">IFERROR(INDEX(FORPTB13!$H$4:$H$580,_xlfn.AGGREGATE(15,6,(ROW(FORPTB13!$B$4:$B$580)-ROW(FORPTB13!#REF!)+1)/((FORPTB13!$B$4:$B$580=$B$5)),ROW(FORPTB13!#REF!))),"")</f>
        <v/>
      </c>
      <c r="G13" s="41" t="str">
        <f ca="1">IFERROR(INDEX(FORPTB13!$J$4:$J$580,_xlfn.AGGREGATE(15,6,(ROW(FORPTB13!$B$4:$B$580)-ROW(FORPTB13!#REF!)+1)/((FORPTB13!$B$4:$B$580=$B$5)),ROW(FORPTB13!#REF!))),"")</f>
        <v/>
      </c>
      <c r="H13" s="41" t="str">
        <f ca="1">IFERROR(INDEX(FORPTB13!$K$4:$K$580,_xlfn.AGGREGATE(15,6,(ROW(FORPTB13!$B$4:$B$580)-ROW(FORPTB13!#REF!)+1)/((FORPTB13!$B$4:$B$580=$B$5)),ROW(FORPTB13!#REF!))),"")</f>
        <v/>
      </c>
      <c r="I13" s="41" t="str">
        <f ca="1">IFERROR(INDEX(FORPTB13!$T$4:$T$580,_xlfn.AGGREGATE(15,6,(ROW(FORPTB13!$B$4:$B$580)-ROW(FORPTB13!#REF!)+1)/((FORPTB13!$B$4:$B$580=$B$5)),ROW(FORPTB13!#REF!))),"")</f>
        <v/>
      </c>
      <c r="J13" s="43" t="str">
        <f ca="1">IFERROR(INDEX(FORPTB13!$I$4:$I$580,_xlfn.AGGREGATE(15,6,(ROW(FORPTB13!$B$4:$B$580)-ROW(FORPTB13!#REF!)+1)/((FORPTB13!$B$4:$B$580=$B$5)),ROW(FORPTB13!#REF!))),"")</f>
        <v/>
      </c>
      <c r="K13" s="42" t="str">
        <f ca="1">IFERROR(INDEX(FORPTB13!$N$4:$N$580,_xlfn.AGGREGATE(15,6,(ROW(FORPTB13!$B$4:$B$580)-ROW(FORPTB13!#REF!)+1)/((FORPTB13!$B$4:$B$580=$B$5)),ROW(FORPTB13!#REF!))),"")</f>
        <v/>
      </c>
      <c r="L13" s="42" t="str">
        <f t="shared" ca="1" si="1"/>
        <v xml:space="preserve">  </v>
      </c>
      <c r="M13" s="43" t="str">
        <f ca="1">IFERROR(INDEX(FORPTB13!$L$4:$L$580,_xlfn.AGGREGATE(15,6,(ROW(FORPTB13!$B$4:$B$580)-ROW(FORPTB13!#REF!)+1)/((FORPTB13!$B$4:$B$580=$B$5)),ROW(FORPTB13!#REF!))),"")</f>
        <v/>
      </c>
      <c r="N13" s="41" t="str">
        <f ca="1">IFERROR(INDEX(FORPTB13!$M$4:$M$580,_xlfn.AGGREGATE(15,6,(ROW(FORPTB13!$B$4:$B$580)-ROW(FORPTB13!#REF!)+1)/((FORPTB13!$B$4:$B$580=$B$5)),ROW(FORPTB13!#REF!))),"")</f>
        <v/>
      </c>
    </row>
    <row r="14" spans="1:14" ht="16.5" x14ac:dyDescent="0.3">
      <c r="D14" s="44" t="str">
        <f t="shared" ca="1" si="2"/>
        <v/>
      </c>
      <c r="E14" s="44" t="str">
        <f ca="1">IFERROR(INDEX(FORPTB13!$F$4:$F$580,_xlfn.AGGREGATE(15,6,(ROW(FORPTB13!$B$4:$B$580)-ROW(FORPTB13!#REF!)+1)/((FORPTB13!$B$4:$B$580=$B$5)),ROW(FORPTB13!#REF!))),"")</f>
        <v/>
      </c>
      <c r="F14" s="44" t="str">
        <f ca="1">IFERROR(INDEX(FORPTB13!$H$4:$H$580,_xlfn.AGGREGATE(15,6,(ROW(FORPTB13!$B$4:$B$580)-ROW(FORPTB13!#REF!)+1)/((FORPTB13!$B$4:$B$580=$B$5)),ROW(FORPTB13!#REF!))),"")</f>
        <v/>
      </c>
      <c r="G14" s="44" t="str">
        <f ca="1">IFERROR(INDEX(FORPTB13!$J$4:$J$580,_xlfn.AGGREGATE(15,6,(ROW(FORPTB13!$B$4:$B$580)-ROW(FORPTB13!#REF!)+1)/((FORPTB13!$B$4:$B$580=$B$5)),ROW(FORPTB13!#REF!))),"")</f>
        <v/>
      </c>
      <c r="H14" s="44" t="str">
        <f ca="1">IFERROR(INDEX(FORPTB13!$K$4:$K$580,_xlfn.AGGREGATE(15,6,(ROW(FORPTB13!$B$4:$B$580)-ROW(FORPTB13!#REF!)+1)/((FORPTB13!$B$4:$B$580=$B$5)),ROW(FORPTB13!#REF!))),"")</f>
        <v/>
      </c>
      <c r="I14" s="44" t="str">
        <f ca="1">IFERROR(INDEX(FORPTB13!$T$4:$T$580,_xlfn.AGGREGATE(15,6,(ROW(FORPTB13!$B$4:$B$580)-ROW(FORPTB13!#REF!)+1)/((FORPTB13!$B$4:$B$580=$B$5)),ROW(FORPTB13!#REF!))),"")</f>
        <v/>
      </c>
      <c r="J14" s="46" t="str">
        <f ca="1">IFERROR(INDEX(FORPTB13!$I$4:$I$580,_xlfn.AGGREGATE(15,6,(ROW(FORPTB13!$B$4:$B$580)-ROW(FORPTB13!#REF!)+1)/((FORPTB13!$B$4:$B$580=$B$5)),ROW(FORPTB13!#REF!))),"")</f>
        <v/>
      </c>
      <c r="K14" s="45" t="str">
        <f ca="1">IFERROR(INDEX(FORPTB13!$N$4:$N$580,_xlfn.AGGREGATE(15,6,(ROW(FORPTB13!$B$4:$B$580)-ROW(FORPTB13!#REF!)+1)/((FORPTB13!$B$4:$B$580=$B$5)),ROW(FORPTB13!#REF!))),"")</f>
        <v/>
      </c>
      <c r="L14" s="45" t="str">
        <f t="shared" ca="1" si="1"/>
        <v xml:space="preserve">  </v>
      </c>
      <c r="M14" s="46" t="str">
        <f ca="1">IFERROR(INDEX(FORPTB13!$L$4:$L$580,_xlfn.AGGREGATE(15,6,(ROW(FORPTB13!$B$4:$B$580)-ROW(FORPTB13!#REF!)+1)/((FORPTB13!$B$4:$B$580=$B$5)),ROW(FORPTB13!#REF!))),"")</f>
        <v/>
      </c>
      <c r="N14" s="44" t="str">
        <f ca="1">IFERROR(INDEX(FORPTB13!$M$4:$M$580,_xlfn.AGGREGATE(15,6,(ROW(FORPTB13!$B$4:$B$580)-ROW(FORPTB13!#REF!)+1)/((FORPTB13!$B$4:$B$580=$B$5)),ROW(FORPTB13!#REF!))),"")</f>
        <v/>
      </c>
    </row>
    <row r="15" spans="1:14" ht="16.5" x14ac:dyDescent="0.3">
      <c r="D15" s="41" t="str">
        <f t="shared" ca="1" si="2"/>
        <v/>
      </c>
      <c r="E15" s="41" t="str">
        <f ca="1">IFERROR(INDEX(FORPTB13!$F$4:$F$580,_xlfn.AGGREGATE(15,6,(ROW(FORPTB13!$B$4:$B$580)-ROW(FORPTB13!#REF!)+1)/((FORPTB13!$B$4:$B$580=$B$5)),ROW(FORPTB13!#REF!))),"")</f>
        <v/>
      </c>
      <c r="F15" s="47" t="str">
        <f ca="1">IFERROR(INDEX(FORPTB13!$H$4:$H$580,_xlfn.AGGREGATE(15,6,(ROW(FORPTB13!$B$4:$B$580)-ROW(FORPTB13!#REF!)+1)/((FORPTB13!$B$4:$B$580=$B$5)),ROW(FORPTB13!#REF!))),"")</f>
        <v/>
      </c>
      <c r="G15" s="41" t="str">
        <f ca="1">IFERROR(INDEX(FORPTB13!$J$4:$J$580,_xlfn.AGGREGATE(15,6,(ROW(FORPTB13!$B$4:$B$580)-ROW(FORPTB13!#REF!)+1)/((FORPTB13!$B$4:$B$580=$B$5)),ROW(FORPTB13!#REF!))),"")</f>
        <v/>
      </c>
      <c r="H15" s="41" t="str">
        <f ca="1">IFERROR(INDEX(FORPTB13!$K$4:$K$580,_xlfn.AGGREGATE(15,6,(ROW(FORPTB13!$B$4:$B$580)-ROW(FORPTB13!#REF!)+1)/((FORPTB13!$B$4:$B$580=$B$5)),ROW(FORPTB13!#REF!))),"")</f>
        <v/>
      </c>
      <c r="I15" s="41" t="str">
        <f ca="1">IFERROR(INDEX(FORPTB13!$T$4:$T$580,_xlfn.AGGREGATE(15,6,(ROW(FORPTB13!$B$4:$B$580)-ROW(FORPTB13!#REF!)+1)/((FORPTB13!$B$4:$B$580=$B$5)),ROW(FORPTB13!#REF!))),"")</f>
        <v/>
      </c>
      <c r="J15" s="43" t="str">
        <f ca="1">IFERROR(INDEX(FORPTB13!$I$4:$I$580,_xlfn.AGGREGATE(15,6,(ROW(FORPTB13!$B$4:$B$580)-ROW(FORPTB13!#REF!)+1)/((FORPTB13!$B$4:$B$580=$B$5)),ROW(FORPTB13!#REF!))),"")</f>
        <v/>
      </c>
      <c r="K15" s="42" t="str">
        <f ca="1">IFERROR(INDEX(FORPTB13!$N$4:$N$580,_xlfn.AGGREGATE(15,6,(ROW(FORPTB13!$B$4:$B$580)-ROW(FORPTB13!#REF!)+1)/((FORPTB13!$B$4:$B$580=$B$5)),ROW(FORPTB13!#REF!))),"")</f>
        <v/>
      </c>
      <c r="L15" s="42" t="str">
        <f t="shared" ca="1" si="1"/>
        <v xml:space="preserve">  </v>
      </c>
      <c r="M15" s="43" t="str">
        <f ca="1">IFERROR(INDEX(FORPTB13!$L$4:$L$580,_xlfn.AGGREGATE(15,6,(ROW(FORPTB13!$B$4:$B$580)-ROW(FORPTB13!#REF!)+1)/((FORPTB13!$B$4:$B$580=$B$5)),ROW(FORPTB13!#REF!))),"")</f>
        <v/>
      </c>
      <c r="N15" s="41" t="str">
        <f ca="1">IFERROR(INDEX(FORPTB13!$M$4:$M$580,_xlfn.AGGREGATE(15,6,(ROW(FORPTB13!$B$4:$B$580)-ROW(FORPTB13!#REF!)+1)/((FORPTB13!$B$4:$B$580=$B$5)),ROW(FORPTB13!#REF!))),"")</f>
        <v/>
      </c>
    </row>
    <row r="16" spans="1:14" ht="16.5" x14ac:dyDescent="0.3">
      <c r="D16" s="44" t="str">
        <f t="shared" ca="1" si="2"/>
        <v/>
      </c>
      <c r="E16" s="44" t="str">
        <f ca="1">IFERROR(INDEX(FORPTB13!$F$4:$F$580,_xlfn.AGGREGATE(15,6,(ROW(FORPTB13!$B$4:$B$580)-ROW(FORPTB13!#REF!)+1)/((FORPTB13!$B$4:$B$580=$B$5)),ROW(FORPTB13!#REF!))),"")</f>
        <v/>
      </c>
      <c r="F16" s="44" t="str">
        <f ca="1">IFERROR(INDEX(FORPTB13!$H$4:$H$580,_xlfn.AGGREGATE(15,6,(ROW(FORPTB13!$B$4:$B$580)-ROW(FORPTB13!#REF!)+1)/((FORPTB13!$B$4:$B$580=$B$5)),ROW(FORPTB13!#REF!))),"")</f>
        <v/>
      </c>
      <c r="G16" s="44" t="str">
        <f ca="1">IFERROR(INDEX(FORPTB13!$J$4:$J$580,_xlfn.AGGREGATE(15,6,(ROW(FORPTB13!$B$4:$B$580)-ROW(FORPTB13!#REF!)+1)/((FORPTB13!$B$4:$B$580=$B$5)),ROW(FORPTB13!#REF!))),"")</f>
        <v/>
      </c>
      <c r="H16" s="44" t="str">
        <f ca="1">IFERROR(INDEX(FORPTB13!$K$4:$K$580,_xlfn.AGGREGATE(15,6,(ROW(FORPTB13!$B$4:$B$580)-ROW(FORPTB13!#REF!)+1)/((FORPTB13!$B$4:$B$580=$B$5)),ROW(FORPTB13!#REF!))),"")</f>
        <v/>
      </c>
      <c r="I16" s="44" t="str">
        <f ca="1">IFERROR(INDEX(FORPTB13!$T$4:$T$580,_xlfn.AGGREGATE(15,6,(ROW(FORPTB13!$B$4:$B$580)-ROW(FORPTB13!#REF!)+1)/((FORPTB13!$B$4:$B$580=$B$5)),ROW(FORPTB13!#REF!))),"")</f>
        <v/>
      </c>
      <c r="J16" s="46" t="str">
        <f ca="1">IFERROR(INDEX(FORPTB13!$I$4:$I$580,_xlfn.AGGREGATE(15,6,(ROW(FORPTB13!$B$4:$B$580)-ROW(FORPTB13!#REF!)+1)/((FORPTB13!$B$4:$B$580=$B$5)),ROW(FORPTB13!#REF!))),"")</f>
        <v/>
      </c>
      <c r="K16" s="45" t="str">
        <f ca="1">IFERROR(INDEX(FORPTB13!$N$4:$N$580,_xlfn.AGGREGATE(15,6,(ROW(FORPTB13!$B$4:$B$580)-ROW(FORPTB13!#REF!)+1)/((FORPTB13!$B$4:$B$580=$B$5)),ROW(FORPTB13!#REF!))),"")</f>
        <v/>
      </c>
      <c r="L16" s="45" t="str">
        <f t="shared" ca="1" si="1"/>
        <v xml:space="preserve">  </v>
      </c>
      <c r="M16" s="46" t="str">
        <f ca="1">IFERROR(INDEX(FORPTB13!$L$4:$L$580,_xlfn.AGGREGATE(15,6,(ROW(FORPTB13!$B$4:$B$580)-ROW(FORPTB13!#REF!)+1)/((FORPTB13!$B$4:$B$580=$B$5)),ROW(FORPTB13!#REF!))),"")</f>
        <v/>
      </c>
      <c r="N16" s="44" t="str">
        <f ca="1">IFERROR(INDEX(FORPTB13!$M$4:$M$580,_xlfn.AGGREGATE(15,6,(ROW(FORPTB13!$B$4:$B$580)-ROW(FORPTB13!#REF!)+1)/((FORPTB13!$B$4:$B$580=$B$5)),ROW(FORPTB13!#REF!))),"")</f>
        <v/>
      </c>
    </row>
    <row r="17" spans="4:14" ht="16.5" x14ac:dyDescent="0.3">
      <c r="D17" s="41" t="str">
        <f t="shared" ca="1" si="2"/>
        <v/>
      </c>
      <c r="E17" s="41" t="str">
        <f ca="1">IFERROR(INDEX(FORPTB13!$F$4:$F$580,_xlfn.AGGREGATE(15,6,(ROW(FORPTB13!$B$4:$B$580)-ROW(FORPTB13!#REF!)+1)/((FORPTB13!$B$4:$B$580=$B$5)),ROW(FORPTB13!#REF!))),"")</f>
        <v/>
      </c>
      <c r="F17" s="47" t="str">
        <f ca="1">IFERROR(INDEX(FORPTB13!$H$4:$H$580,_xlfn.AGGREGATE(15,6,(ROW(FORPTB13!$B$4:$B$580)-ROW(FORPTB13!#REF!)+1)/((FORPTB13!$B$4:$B$580=$B$5)),ROW(FORPTB13!#REF!))),"")</f>
        <v/>
      </c>
      <c r="G17" s="41" t="str">
        <f ca="1">IFERROR(INDEX(FORPTB13!$J$4:$J$580,_xlfn.AGGREGATE(15,6,(ROW(FORPTB13!$B$4:$B$580)-ROW(FORPTB13!#REF!)+1)/((FORPTB13!$B$4:$B$580=$B$5)),ROW(FORPTB13!#REF!))),"")</f>
        <v/>
      </c>
      <c r="H17" s="41" t="str">
        <f ca="1">IFERROR(INDEX(FORPTB13!$K$4:$K$580,_xlfn.AGGREGATE(15,6,(ROW(FORPTB13!$B$4:$B$580)-ROW(FORPTB13!#REF!)+1)/((FORPTB13!$B$4:$B$580=$B$5)),ROW(FORPTB13!#REF!))),"")</f>
        <v/>
      </c>
      <c r="I17" s="41" t="str">
        <f ca="1">IFERROR(INDEX(FORPTB13!$T$4:$T$580,_xlfn.AGGREGATE(15,6,(ROW(FORPTB13!$B$4:$B$580)-ROW(FORPTB13!#REF!)+1)/((FORPTB13!$B$4:$B$580=$B$5)),ROW(FORPTB13!#REF!))),"")</f>
        <v/>
      </c>
      <c r="J17" s="43" t="str">
        <f ca="1">IFERROR(INDEX(FORPTB13!$I$4:$I$580,_xlfn.AGGREGATE(15,6,(ROW(FORPTB13!$B$4:$B$580)-ROW(FORPTB13!#REF!)+1)/((FORPTB13!$B$4:$B$580=$B$5)),ROW(FORPTB13!#REF!))),"")</f>
        <v/>
      </c>
      <c r="K17" s="42" t="str">
        <f ca="1">IFERROR(INDEX(FORPTB13!$N$4:$N$580,_xlfn.AGGREGATE(15,6,(ROW(FORPTB13!$B$4:$B$580)-ROW(FORPTB13!#REF!)+1)/((FORPTB13!$B$4:$B$580=$B$5)),ROW(FORPTB13!#REF!))),"")</f>
        <v/>
      </c>
      <c r="L17" s="42" t="str">
        <f t="shared" ca="1" si="1"/>
        <v xml:space="preserve">  </v>
      </c>
      <c r="M17" s="43" t="str">
        <f ca="1">IFERROR(INDEX(FORPTB13!$L$4:$L$580,_xlfn.AGGREGATE(15,6,(ROW(FORPTB13!$B$4:$B$580)-ROW(FORPTB13!#REF!)+1)/((FORPTB13!$B$4:$B$580=$B$5)),ROW(FORPTB13!#REF!))),"")</f>
        <v/>
      </c>
      <c r="N17" s="41" t="str">
        <f ca="1">IFERROR(INDEX(FORPTB13!$M$4:$M$580,_xlfn.AGGREGATE(15,6,(ROW(FORPTB13!$B$4:$B$580)-ROW(FORPTB13!#REF!)+1)/((FORPTB13!$B$4:$B$580=$B$5)),ROW(FORPTB13!#REF!))),"")</f>
        <v/>
      </c>
    </row>
    <row r="18" spans="4:14" ht="16.5" x14ac:dyDescent="0.3">
      <c r="D18" s="44" t="str">
        <f t="shared" ca="1" si="2"/>
        <v/>
      </c>
      <c r="E18" s="44" t="str">
        <f ca="1">IFERROR(INDEX(FORPTB13!$F$4:$F$580,_xlfn.AGGREGATE(15,6,(ROW(FORPTB13!$B$4:$B$580)-ROW(FORPTB13!#REF!)+1)/((FORPTB13!$B$4:$B$580=$B$5)),ROW(FORPTB13!#REF!))),"")</f>
        <v/>
      </c>
      <c r="F18" s="44" t="str">
        <f ca="1">IFERROR(INDEX(FORPTB13!$H$4:$H$580,_xlfn.AGGREGATE(15,6,(ROW(FORPTB13!$B$4:$B$580)-ROW(FORPTB13!#REF!)+1)/((FORPTB13!$B$4:$B$580=$B$5)),ROW(FORPTB13!#REF!))),"")</f>
        <v/>
      </c>
      <c r="G18" s="44" t="str">
        <f ca="1">IFERROR(INDEX(FORPTB13!$J$4:$J$580,_xlfn.AGGREGATE(15,6,(ROW(FORPTB13!$B$4:$B$580)-ROW(FORPTB13!#REF!)+1)/((FORPTB13!$B$4:$B$580=$B$5)),ROW(FORPTB13!#REF!))),"")</f>
        <v/>
      </c>
      <c r="H18" s="44" t="str">
        <f ca="1">IFERROR(INDEX(FORPTB13!$K$4:$K$580,_xlfn.AGGREGATE(15,6,(ROW(FORPTB13!$B$4:$B$580)-ROW(FORPTB13!#REF!)+1)/((FORPTB13!$B$4:$B$580=$B$5)),ROW(FORPTB13!#REF!))),"")</f>
        <v/>
      </c>
      <c r="I18" s="44" t="str">
        <f ca="1">IFERROR(INDEX(FORPTB13!$T$4:$T$580,_xlfn.AGGREGATE(15,6,(ROW(FORPTB13!$B$4:$B$580)-ROW(FORPTB13!#REF!)+1)/((FORPTB13!$B$4:$B$580=$B$5)),ROW(FORPTB13!#REF!))),"")</f>
        <v/>
      </c>
      <c r="J18" s="46" t="str">
        <f ca="1">IFERROR(INDEX(FORPTB13!$I$4:$I$580,_xlfn.AGGREGATE(15,6,(ROW(FORPTB13!$B$4:$B$580)-ROW(FORPTB13!#REF!)+1)/((FORPTB13!$B$4:$B$580=$B$5)),ROW(FORPTB13!#REF!))),"")</f>
        <v/>
      </c>
      <c r="K18" s="45" t="str">
        <f ca="1">IFERROR(INDEX(FORPTB13!$N$4:$N$580,_xlfn.AGGREGATE(15,6,(ROW(FORPTB13!$B$4:$B$580)-ROW(FORPTB13!#REF!)+1)/((FORPTB13!$B$4:$B$580=$B$5)),ROW(FORPTB13!#REF!))),"")</f>
        <v/>
      </c>
      <c r="L18" s="45" t="str">
        <f t="shared" ca="1" si="1"/>
        <v xml:space="preserve">  </v>
      </c>
      <c r="M18" s="46" t="str">
        <f ca="1">IFERROR(INDEX(FORPTB13!$L$4:$L$580,_xlfn.AGGREGATE(15,6,(ROW(FORPTB13!$B$4:$B$580)-ROW(FORPTB13!#REF!)+1)/((FORPTB13!$B$4:$B$580=$B$5)),ROW(FORPTB13!#REF!))),"")</f>
        <v/>
      </c>
      <c r="N18" s="44" t="str">
        <f ca="1">IFERROR(INDEX(FORPTB13!$M$4:$M$580,_xlfn.AGGREGATE(15,6,(ROW(FORPTB13!$B$4:$B$580)-ROW(FORPTB13!#REF!)+1)/((FORPTB13!$B$4:$B$580=$B$5)),ROW(FORPTB13!#REF!))),"")</f>
        <v/>
      </c>
    </row>
    <row r="19" spans="4:14" ht="16.5" x14ac:dyDescent="0.3">
      <c r="D19" s="41" t="str">
        <f t="shared" ca="1" si="2"/>
        <v/>
      </c>
      <c r="E19" s="41" t="str">
        <f ca="1">IFERROR(INDEX(FORPTB13!$F$4:$F$580,_xlfn.AGGREGATE(15,6,(ROW(FORPTB13!$B$4:$B$580)-ROW(FORPTB13!#REF!)+1)/((FORPTB13!$B$4:$B$580=$B$5)),ROW(FORPTB13!#REF!))),"")</f>
        <v/>
      </c>
      <c r="F19" s="47" t="str">
        <f ca="1">IFERROR(INDEX(FORPTB13!$H$4:$H$580,_xlfn.AGGREGATE(15,6,(ROW(FORPTB13!$B$4:$B$580)-ROW(FORPTB13!#REF!)+1)/((FORPTB13!$B$4:$B$580=$B$5)),ROW(FORPTB13!#REF!))),"")</f>
        <v/>
      </c>
      <c r="G19" s="41" t="str">
        <f ca="1">IFERROR(INDEX(FORPTB13!$J$4:$J$580,_xlfn.AGGREGATE(15,6,(ROW(FORPTB13!$B$4:$B$580)-ROW(FORPTB13!#REF!)+1)/((FORPTB13!$B$4:$B$580=$B$5)),ROW(FORPTB13!#REF!))),"")</f>
        <v/>
      </c>
      <c r="H19" s="41" t="str">
        <f ca="1">IFERROR(INDEX(FORPTB13!$K$4:$K$580,_xlfn.AGGREGATE(15,6,(ROW(FORPTB13!$B$4:$B$580)-ROW(FORPTB13!#REF!)+1)/((FORPTB13!$B$4:$B$580=$B$5)),ROW(FORPTB13!#REF!))),"")</f>
        <v/>
      </c>
      <c r="I19" s="41" t="str">
        <f ca="1">IFERROR(INDEX(FORPTB13!$T$4:$T$580,_xlfn.AGGREGATE(15,6,(ROW(FORPTB13!$B$4:$B$580)-ROW(FORPTB13!#REF!)+1)/((FORPTB13!$B$4:$B$580=$B$5)),ROW(FORPTB13!#REF!))),"")</f>
        <v/>
      </c>
      <c r="J19" s="43" t="str">
        <f ca="1">IFERROR(INDEX(FORPTB13!$I$4:$I$580,_xlfn.AGGREGATE(15,6,(ROW(FORPTB13!$B$4:$B$580)-ROW(FORPTB13!#REF!)+1)/((FORPTB13!$B$4:$B$580=$B$5)),ROW(FORPTB13!#REF!))),"")</f>
        <v/>
      </c>
      <c r="K19" s="42" t="str">
        <f ca="1">IFERROR(INDEX(FORPTB13!$N$4:$N$580,_xlfn.AGGREGATE(15,6,(ROW(FORPTB13!$B$4:$B$580)-ROW(FORPTB13!#REF!)+1)/((FORPTB13!$B$4:$B$580=$B$5)),ROW(FORPTB13!#REF!))),"")</f>
        <v/>
      </c>
      <c r="L19" s="42" t="str">
        <f t="shared" ca="1" si="1"/>
        <v xml:space="preserve">  </v>
      </c>
      <c r="M19" s="43" t="str">
        <f ca="1">IFERROR(INDEX(FORPTB13!$L$4:$L$580,_xlfn.AGGREGATE(15,6,(ROW(FORPTB13!$B$4:$B$580)-ROW(FORPTB13!#REF!)+1)/((FORPTB13!$B$4:$B$580=$B$5)),ROW(FORPTB13!#REF!))),"")</f>
        <v/>
      </c>
      <c r="N19" s="41" t="str">
        <f ca="1">IFERROR(INDEX(FORPTB13!$M$4:$M$580,_xlfn.AGGREGATE(15,6,(ROW(FORPTB13!$B$4:$B$580)-ROW(FORPTB13!#REF!)+1)/((FORPTB13!$B$4:$B$580=$B$5)),ROW(FORPTB13!#REF!))),"")</f>
        <v/>
      </c>
    </row>
    <row r="20" spans="4:14" ht="16.5" x14ac:dyDescent="0.3">
      <c r="D20" s="44" t="str">
        <f t="shared" ca="1" si="2"/>
        <v/>
      </c>
      <c r="E20" s="44" t="str">
        <f ca="1">IFERROR(INDEX(FORPTB13!$F$4:$F$580,_xlfn.AGGREGATE(15,6,(ROW(FORPTB13!$B$4:$B$580)-ROW(FORPTB13!#REF!)+1)/((FORPTB13!$B$4:$B$580=$B$5)),ROW(FORPTB13!#REF!))),"")</f>
        <v/>
      </c>
      <c r="F20" s="44" t="str">
        <f ca="1">IFERROR(INDEX(FORPTB13!$H$4:$H$580,_xlfn.AGGREGATE(15,6,(ROW(FORPTB13!$B$4:$B$580)-ROW(FORPTB13!#REF!)+1)/((FORPTB13!$B$4:$B$580=$B$5)),ROW(FORPTB13!#REF!))),"")</f>
        <v/>
      </c>
      <c r="G20" s="44" t="str">
        <f ca="1">IFERROR(INDEX(FORPTB13!$J$4:$J$580,_xlfn.AGGREGATE(15,6,(ROW(FORPTB13!$B$4:$B$580)-ROW(FORPTB13!#REF!)+1)/((FORPTB13!$B$4:$B$580=$B$5)),ROW(FORPTB13!#REF!))),"")</f>
        <v/>
      </c>
      <c r="H20" s="44" t="str">
        <f ca="1">IFERROR(INDEX(FORPTB13!$K$4:$K$580,_xlfn.AGGREGATE(15,6,(ROW(FORPTB13!$B$4:$B$580)-ROW(FORPTB13!#REF!)+1)/((FORPTB13!$B$4:$B$580=$B$5)),ROW(FORPTB13!#REF!))),"")</f>
        <v/>
      </c>
      <c r="I20" s="44" t="str">
        <f ca="1">IFERROR(INDEX(FORPTB13!$T$4:$T$580,_xlfn.AGGREGATE(15,6,(ROW(FORPTB13!$B$4:$B$580)-ROW(FORPTB13!#REF!)+1)/((FORPTB13!$B$4:$B$580=$B$5)),ROW(FORPTB13!#REF!))),"")</f>
        <v/>
      </c>
      <c r="J20" s="46" t="str">
        <f ca="1">IFERROR(INDEX(FORPTB13!$I$4:$I$580,_xlfn.AGGREGATE(15,6,(ROW(FORPTB13!$B$4:$B$580)-ROW(FORPTB13!#REF!)+1)/((FORPTB13!$B$4:$B$580=$B$5)),ROW(FORPTB13!#REF!))),"")</f>
        <v/>
      </c>
      <c r="K20" s="45" t="str">
        <f ca="1">IFERROR(INDEX(FORPTB13!$N$4:$N$580,_xlfn.AGGREGATE(15,6,(ROW(FORPTB13!$B$4:$B$580)-ROW(FORPTB13!#REF!)+1)/((FORPTB13!$B$4:$B$580=$B$5)),ROW(FORPTB13!#REF!))),"")</f>
        <v/>
      </c>
      <c r="L20" s="45" t="str">
        <f t="shared" ca="1" si="1"/>
        <v xml:space="preserve">  </v>
      </c>
      <c r="M20" s="46" t="str">
        <f ca="1">IFERROR(INDEX(FORPTB13!$L$4:$L$580,_xlfn.AGGREGATE(15,6,(ROW(FORPTB13!$B$4:$B$580)-ROW(FORPTB13!#REF!)+1)/((FORPTB13!$B$4:$B$580=$B$5)),ROW(FORPTB13!#REF!))),"")</f>
        <v/>
      </c>
      <c r="N20" s="44" t="str">
        <f ca="1">IFERROR(INDEX(FORPTB13!$M$4:$M$580,_xlfn.AGGREGATE(15,6,(ROW(FORPTB13!$B$4:$B$580)-ROW(FORPTB13!#REF!)+1)/((FORPTB13!$B$4:$B$580=$B$5)),ROW(FORPTB13!#REF!))),"")</f>
        <v/>
      </c>
    </row>
    <row r="21" spans="4:14" ht="16.8" x14ac:dyDescent="0.4">
      <c r="D21" s="41" t="str">
        <f t="shared" ca="1" si="2"/>
        <v/>
      </c>
      <c r="E21" s="41" t="str">
        <f ca="1">IFERROR(INDEX(FORPTB13!$F$4:$F$580,_xlfn.AGGREGATE(15,6,(ROW(FORPTB13!$B$4:$B$580)-ROW(FORPTB13!#REF!)+1)/((FORPTB13!$B$4:$B$580=$B$5)),ROW(FORPTB13!#REF!))),"")</f>
        <v/>
      </c>
      <c r="F21" s="47" t="str">
        <f ca="1">IFERROR(INDEX(FORPTB13!$H$4:$H$580,_xlfn.AGGREGATE(15,6,(ROW(FORPTB13!$B$4:$B$580)-ROW(FORPTB13!#REF!)+1)/((FORPTB13!$B$4:$B$580=$B$5)),ROW(FORPTB13!#REF!))),"")</f>
        <v/>
      </c>
      <c r="G21" s="41" t="str">
        <f ca="1">IFERROR(INDEX(FORPTB13!$J$4:$J$580,_xlfn.AGGREGATE(15,6,(ROW(FORPTB13!$B$4:$B$580)-ROW(FORPTB13!#REF!)+1)/((FORPTB13!$B$4:$B$580=$B$5)),ROW(FORPTB13!#REF!))),"")</f>
        <v/>
      </c>
      <c r="H21" s="41" t="str">
        <f ca="1">IFERROR(INDEX(FORPTB13!$K$4:$K$580,_xlfn.AGGREGATE(15,6,(ROW(FORPTB13!$B$4:$B$580)-ROW(FORPTB13!#REF!)+1)/((FORPTB13!$B$4:$B$580=$B$5)),ROW(FORPTB13!#REF!))),"")</f>
        <v/>
      </c>
      <c r="I21" s="41" t="str">
        <f ca="1">IFERROR(INDEX(FORPTB13!$T$4:$T$580,_xlfn.AGGREGATE(15,6,(ROW(FORPTB13!$B$4:$B$580)-ROW(FORPTB13!#REF!)+1)/((FORPTB13!$B$4:$B$580=$B$5)),ROW(FORPTB13!#REF!))),"")</f>
        <v/>
      </c>
      <c r="J21" s="43" t="str">
        <f ca="1">IFERROR(INDEX(FORPTB13!$I$4:$I$580,_xlfn.AGGREGATE(15,6,(ROW(FORPTB13!$B$4:$B$580)-ROW(FORPTB13!#REF!)+1)/((FORPTB13!$B$4:$B$580=$B$5)),ROW(FORPTB13!#REF!))),"")</f>
        <v/>
      </c>
      <c r="K21" s="42" t="str">
        <f ca="1">IFERROR(INDEX(FORPTB13!$N$4:$N$580,_xlfn.AGGREGATE(15,6,(ROW(FORPTB13!$B$4:$B$580)-ROW(FORPTB13!#REF!)+1)/((FORPTB13!$B$4:$B$580=$B$5)),ROW(FORPTB13!#REF!))),"")</f>
        <v/>
      </c>
      <c r="L21" s="42" t="str">
        <f t="shared" ca="1" si="1"/>
        <v xml:space="preserve">  </v>
      </c>
      <c r="M21" s="43" t="str">
        <f ca="1">IFERROR(INDEX(FORPTB13!$L$4:$L$580,_xlfn.AGGREGATE(15,6,(ROW(FORPTB13!$B$4:$B$580)-ROW(FORPTB13!#REF!)+1)/((FORPTB13!$B$4:$B$580=$B$5)),ROW(FORPTB13!#REF!))),"")</f>
        <v/>
      </c>
      <c r="N21" s="41" t="str">
        <f ca="1">IFERROR(INDEX(FORPTB13!$M$4:$M$580,_xlfn.AGGREGATE(15,6,(ROW(FORPTB13!$B$4:$B$580)-ROW(FORPTB13!#REF!)+1)/((FORPTB13!$B$4:$B$580=$B$5)),ROW(FORPTB13!#REF!))),"")</f>
        <v/>
      </c>
    </row>
    <row r="22" spans="4:14" ht="16.8" x14ac:dyDescent="0.4">
      <c r="D22" s="44" t="str">
        <f t="shared" ca="1" si="2"/>
        <v/>
      </c>
      <c r="E22" s="44" t="str">
        <f ca="1">IFERROR(INDEX(FORPTB13!$F$4:$F$580,_xlfn.AGGREGATE(15,6,(ROW(FORPTB13!$B$4:$B$580)-ROW(FORPTB13!#REF!)+1)/((FORPTB13!$B$4:$B$580=$B$5)),ROW(FORPTB13!#REF!))),"")</f>
        <v/>
      </c>
      <c r="F22" s="44" t="str">
        <f ca="1">IFERROR(INDEX(FORPTB13!$H$4:$H$580,_xlfn.AGGREGATE(15,6,(ROW(FORPTB13!$B$4:$B$580)-ROW(FORPTB13!#REF!)+1)/((FORPTB13!$B$4:$B$580=$B$5)),ROW(FORPTB13!#REF!))),"")</f>
        <v/>
      </c>
      <c r="G22" s="44" t="str">
        <f ca="1">IFERROR(INDEX(FORPTB13!$J$4:$J$580,_xlfn.AGGREGATE(15,6,(ROW(FORPTB13!$B$4:$B$580)-ROW(FORPTB13!#REF!)+1)/((FORPTB13!$B$4:$B$580=$B$5)),ROW(FORPTB13!#REF!))),"")</f>
        <v/>
      </c>
      <c r="H22" s="44" t="str">
        <f ca="1">IFERROR(INDEX(FORPTB13!$K$4:$K$580,_xlfn.AGGREGATE(15,6,(ROW(FORPTB13!$B$4:$B$580)-ROW(FORPTB13!#REF!)+1)/((FORPTB13!$B$4:$B$580=$B$5)),ROW(FORPTB13!#REF!))),"")</f>
        <v/>
      </c>
      <c r="I22" s="44" t="str">
        <f ca="1">IFERROR(INDEX(FORPTB13!$T$4:$T$580,_xlfn.AGGREGATE(15,6,(ROW(FORPTB13!$B$4:$B$580)-ROW(FORPTB13!#REF!)+1)/((FORPTB13!$B$4:$B$580=$B$5)),ROW(FORPTB13!#REF!))),"")</f>
        <v/>
      </c>
      <c r="J22" s="46" t="str">
        <f ca="1">IFERROR(INDEX(FORPTB13!$I$4:$I$580,_xlfn.AGGREGATE(15,6,(ROW(FORPTB13!$B$4:$B$580)-ROW(FORPTB13!#REF!)+1)/((FORPTB13!$B$4:$B$580=$B$5)),ROW(FORPTB13!#REF!))),"")</f>
        <v/>
      </c>
      <c r="K22" s="45" t="str">
        <f ca="1">IFERROR(INDEX(FORPTB13!$N$4:$N$580,_xlfn.AGGREGATE(15,6,(ROW(FORPTB13!$B$4:$B$580)-ROW(FORPTB13!#REF!)+1)/((FORPTB13!$B$4:$B$580=$B$5)),ROW(FORPTB13!#REF!))),"")</f>
        <v/>
      </c>
      <c r="L22" s="45" t="str">
        <f t="shared" ca="1" si="1"/>
        <v xml:space="preserve">  </v>
      </c>
      <c r="M22" s="46" t="str">
        <f ca="1">IFERROR(INDEX(FORPTB13!$L$4:$L$580,_xlfn.AGGREGATE(15,6,(ROW(FORPTB13!$B$4:$B$580)-ROW(FORPTB13!#REF!)+1)/((FORPTB13!$B$4:$B$580=$B$5)),ROW(FORPTB13!#REF!))),"")</f>
        <v/>
      </c>
      <c r="N22" s="44" t="str">
        <f ca="1">IFERROR(INDEX(FORPTB13!$M$4:$M$580,_xlfn.AGGREGATE(15,6,(ROW(FORPTB13!$B$4:$B$580)-ROW(FORPTB13!#REF!)+1)/((FORPTB13!$B$4:$B$580=$B$5)),ROW(FORPTB13!#REF!))),"")</f>
        <v/>
      </c>
    </row>
    <row r="23" spans="4:14" ht="16.8" x14ac:dyDescent="0.4">
      <c r="D23" s="41" t="str">
        <f t="shared" ca="1" si="2"/>
        <v/>
      </c>
      <c r="E23" s="41" t="str">
        <f ca="1">IFERROR(INDEX(FORPTB13!$F$4:$F$580,_xlfn.AGGREGATE(15,6,(ROW(FORPTB13!$B$4:$B$580)-ROW(FORPTB13!#REF!)+1)/((FORPTB13!$B$4:$B$580=$B$5)),ROW(FORPTB13!#REF!))),"")</f>
        <v/>
      </c>
      <c r="F23" s="47" t="str">
        <f ca="1">IFERROR(INDEX(FORPTB13!$H$4:$H$580,_xlfn.AGGREGATE(15,6,(ROW(FORPTB13!$B$4:$B$580)-ROW(FORPTB13!#REF!)+1)/((FORPTB13!$B$4:$B$580=$B$5)),ROW(FORPTB13!#REF!))),"")</f>
        <v/>
      </c>
      <c r="G23" s="41" t="str">
        <f ca="1">IFERROR(INDEX(FORPTB13!$J$4:$J$580,_xlfn.AGGREGATE(15,6,(ROW(FORPTB13!$B$4:$B$580)-ROW(FORPTB13!#REF!)+1)/((FORPTB13!$B$4:$B$580=$B$5)),ROW(FORPTB13!#REF!))),"")</f>
        <v/>
      </c>
      <c r="H23" s="41" t="str">
        <f ca="1">IFERROR(INDEX(FORPTB13!$K$4:$K$580,_xlfn.AGGREGATE(15,6,(ROW(FORPTB13!$B$4:$B$580)-ROW(FORPTB13!#REF!)+1)/((FORPTB13!$B$4:$B$580=$B$5)),ROW(FORPTB13!#REF!))),"")</f>
        <v/>
      </c>
      <c r="I23" s="41" t="str">
        <f ca="1">IFERROR(INDEX(FORPTB13!$T$4:$T$580,_xlfn.AGGREGATE(15,6,(ROW(FORPTB13!$B$4:$B$580)-ROW(FORPTB13!#REF!)+1)/((FORPTB13!$B$4:$B$580=$B$5)),ROW(FORPTB13!#REF!))),"")</f>
        <v/>
      </c>
      <c r="J23" s="43" t="str">
        <f ca="1">IFERROR(INDEX(FORPTB13!$I$4:$I$580,_xlfn.AGGREGATE(15,6,(ROW(FORPTB13!$B$4:$B$580)-ROW(FORPTB13!#REF!)+1)/((FORPTB13!$B$4:$B$580=$B$5)),ROW(FORPTB13!#REF!))),"")</f>
        <v/>
      </c>
      <c r="K23" s="42" t="str">
        <f ca="1">IFERROR(INDEX(FORPTB13!$N$4:$N$580,_xlfn.AGGREGATE(15,6,(ROW(FORPTB13!$B$4:$B$580)-ROW(FORPTB13!#REF!)+1)/((FORPTB13!$B$4:$B$580=$B$5)),ROW(FORPTB13!#REF!))),"")</f>
        <v/>
      </c>
      <c r="L23" s="42" t="str">
        <f t="shared" ca="1" si="1"/>
        <v xml:space="preserve">  </v>
      </c>
      <c r="M23" s="43" t="str">
        <f ca="1">IFERROR(INDEX(FORPTB13!$L$4:$L$580,_xlfn.AGGREGATE(15,6,(ROW(FORPTB13!$B$4:$B$580)-ROW(FORPTB13!#REF!)+1)/((FORPTB13!$B$4:$B$580=$B$5)),ROW(FORPTB13!#REF!))),"")</f>
        <v/>
      </c>
      <c r="N23" s="41" t="str">
        <f ca="1">IFERROR(INDEX(FORPTB13!$M$4:$M$580,_xlfn.AGGREGATE(15,6,(ROW(FORPTB13!$B$4:$B$580)-ROW(FORPTB13!#REF!)+1)/((FORPTB13!$B$4:$B$580=$B$5)),ROW(FORPTB13!#REF!))),"")</f>
        <v/>
      </c>
    </row>
    <row r="24" spans="4:14" ht="16.8" x14ac:dyDescent="0.4">
      <c r="D24" s="44" t="str">
        <f t="shared" ca="1" si="2"/>
        <v/>
      </c>
      <c r="E24" s="44" t="str">
        <f ca="1">IFERROR(INDEX(FORPTB13!$F$4:$F$580,_xlfn.AGGREGATE(15,6,(ROW(FORPTB13!$B$4:$B$580)-ROW(FORPTB13!#REF!)+1)/((FORPTB13!$B$4:$B$580=$B$5)),ROW(FORPTB13!#REF!))),"")</f>
        <v/>
      </c>
      <c r="F24" s="44" t="str">
        <f ca="1">IFERROR(INDEX(FORPTB13!$H$4:$H$580,_xlfn.AGGREGATE(15,6,(ROW(FORPTB13!$B$4:$B$580)-ROW(FORPTB13!#REF!)+1)/((FORPTB13!$B$4:$B$580=$B$5)),ROW(FORPTB13!#REF!))),"")</f>
        <v/>
      </c>
      <c r="G24" s="44" t="str">
        <f ca="1">IFERROR(INDEX(FORPTB13!$J$4:$J$580,_xlfn.AGGREGATE(15,6,(ROW(FORPTB13!$B$4:$B$580)-ROW(FORPTB13!#REF!)+1)/((FORPTB13!$B$4:$B$580=$B$5)),ROW(FORPTB13!#REF!))),"")</f>
        <v/>
      </c>
      <c r="H24" s="44" t="str">
        <f ca="1">IFERROR(INDEX(FORPTB13!$K$4:$K$580,_xlfn.AGGREGATE(15,6,(ROW(FORPTB13!$B$4:$B$580)-ROW(FORPTB13!#REF!)+1)/((FORPTB13!$B$4:$B$580=$B$5)),ROW(FORPTB13!#REF!))),"")</f>
        <v/>
      </c>
      <c r="I24" s="44" t="str">
        <f ca="1">IFERROR(INDEX(FORPTB13!$T$4:$T$580,_xlfn.AGGREGATE(15,6,(ROW(FORPTB13!$B$4:$B$580)-ROW(FORPTB13!#REF!)+1)/((FORPTB13!$B$4:$B$580=$B$5)),ROW(FORPTB13!#REF!))),"")</f>
        <v/>
      </c>
      <c r="J24" s="46" t="str">
        <f ca="1">IFERROR(INDEX(FORPTB13!$I$4:$I$580,_xlfn.AGGREGATE(15,6,(ROW(FORPTB13!$B$4:$B$580)-ROW(FORPTB13!#REF!)+1)/((FORPTB13!$B$4:$B$580=$B$5)),ROW(FORPTB13!#REF!))),"")</f>
        <v/>
      </c>
      <c r="K24" s="45" t="str">
        <f ca="1">IFERROR(INDEX(FORPTB13!$N$4:$N$580,_xlfn.AGGREGATE(15,6,(ROW(FORPTB13!$B$4:$B$580)-ROW(FORPTB13!#REF!)+1)/((FORPTB13!$B$4:$B$580=$B$5)),ROW(FORPTB13!#REF!))),"")</f>
        <v/>
      </c>
      <c r="L24" s="45" t="str">
        <f t="shared" ca="1" si="1"/>
        <v xml:space="preserve">  </v>
      </c>
      <c r="M24" s="46" t="str">
        <f ca="1">IFERROR(INDEX(FORPTB13!$L$4:$L$580,_xlfn.AGGREGATE(15,6,(ROW(FORPTB13!$B$4:$B$580)-ROW(FORPTB13!#REF!)+1)/((FORPTB13!$B$4:$B$580=$B$5)),ROW(FORPTB13!#REF!))),"")</f>
        <v/>
      </c>
      <c r="N24" s="44" t="str">
        <f ca="1">IFERROR(INDEX(FORPTB13!$M$4:$M$580,_xlfn.AGGREGATE(15,6,(ROW(FORPTB13!$B$4:$B$580)-ROW(FORPTB13!#REF!)+1)/((FORPTB13!$B$4:$B$580=$B$5)),ROW(FORPTB13!#REF!))),"")</f>
        <v/>
      </c>
    </row>
    <row r="25" spans="4:14" ht="16.8" x14ac:dyDescent="0.4">
      <c r="D25" s="41" t="str">
        <f t="shared" ca="1" si="2"/>
        <v/>
      </c>
      <c r="E25" s="41" t="str">
        <f ca="1">IFERROR(INDEX(FORPTB13!$F$4:$F$580,_xlfn.AGGREGATE(15,6,(ROW(FORPTB13!$B$4:$B$580)-ROW(FORPTB13!#REF!)+1)/((FORPTB13!$B$4:$B$580=$B$5)),ROW(FORPTB13!#REF!))),"")</f>
        <v/>
      </c>
      <c r="F25" s="47" t="str">
        <f ca="1">IFERROR(INDEX(FORPTB13!$H$4:$H$580,_xlfn.AGGREGATE(15,6,(ROW(FORPTB13!$B$4:$B$580)-ROW(FORPTB13!#REF!)+1)/((FORPTB13!$B$4:$B$580=$B$5)),ROW(FORPTB13!#REF!))),"")</f>
        <v/>
      </c>
      <c r="G25" s="41" t="str">
        <f ca="1">IFERROR(INDEX(FORPTB13!$J$4:$J$580,_xlfn.AGGREGATE(15,6,(ROW(FORPTB13!$B$4:$B$580)-ROW(FORPTB13!#REF!)+1)/((FORPTB13!$B$4:$B$580=$B$5)),ROW(FORPTB13!#REF!))),"")</f>
        <v/>
      </c>
      <c r="H25" s="41" t="str">
        <f ca="1">IFERROR(INDEX(FORPTB13!$K$4:$K$580,_xlfn.AGGREGATE(15,6,(ROW(FORPTB13!$B$4:$B$580)-ROW(FORPTB13!#REF!)+1)/((FORPTB13!$B$4:$B$580=$B$5)),ROW(FORPTB13!#REF!))),"")</f>
        <v/>
      </c>
      <c r="I25" s="41" t="str">
        <f ca="1">IFERROR(INDEX(FORPTB13!$T$4:$T$580,_xlfn.AGGREGATE(15,6,(ROW(FORPTB13!$B$4:$B$580)-ROW(FORPTB13!#REF!)+1)/((FORPTB13!$B$4:$B$580=$B$5)),ROW(FORPTB13!#REF!))),"")</f>
        <v/>
      </c>
      <c r="J25" s="43" t="str">
        <f ca="1">IFERROR(INDEX(FORPTB13!$I$4:$I$580,_xlfn.AGGREGATE(15,6,(ROW(FORPTB13!$B$4:$B$580)-ROW(FORPTB13!#REF!)+1)/((FORPTB13!$B$4:$B$580=$B$5)),ROW(FORPTB13!#REF!))),"")</f>
        <v/>
      </c>
      <c r="K25" s="42" t="str">
        <f ca="1">IFERROR(INDEX(FORPTB13!$N$4:$N$580,_xlfn.AGGREGATE(15,6,(ROW(FORPTB13!$B$4:$B$580)-ROW(FORPTB13!#REF!)+1)/((FORPTB13!$B$4:$B$580=$B$5)),ROW(FORPTB13!#REF!))),"")</f>
        <v/>
      </c>
      <c r="L25" s="42" t="str">
        <f t="shared" ca="1" si="1"/>
        <v xml:space="preserve">  </v>
      </c>
      <c r="M25" s="43" t="str">
        <f ca="1">IFERROR(INDEX(FORPTB13!$L$4:$L$580,_xlfn.AGGREGATE(15,6,(ROW(FORPTB13!$B$4:$B$580)-ROW(FORPTB13!#REF!)+1)/((FORPTB13!$B$4:$B$580=$B$5)),ROW(FORPTB13!#REF!))),"")</f>
        <v/>
      </c>
      <c r="N25" s="41" t="str">
        <f ca="1">IFERROR(INDEX(FORPTB13!$M$4:$M$580,_xlfn.AGGREGATE(15,6,(ROW(FORPTB13!$B$4:$B$580)-ROW(FORPTB13!#REF!)+1)/((FORPTB13!$B$4:$B$580=$B$5)),ROW(FORPTB13!#REF!))),"")</f>
        <v/>
      </c>
    </row>
    <row r="26" spans="4:14" ht="16.8" x14ac:dyDescent="0.4">
      <c r="D26" s="44" t="str">
        <f t="shared" ca="1" si="2"/>
        <v/>
      </c>
      <c r="E26" s="44" t="str">
        <f ca="1">IFERROR(INDEX(FORPTB13!$F$4:$F$580,_xlfn.AGGREGATE(15,6,(ROW(FORPTB13!$B$4:$B$580)-ROW(FORPTB13!#REF!)+1)/((FORPTB13!$B$4:$B$580=$B$5)),ROW(FORPTB13!#REF!))),"")</f>
        <v/>
      </c>
      <c r="F26" s="44" t="str">
        <f ca="1">IFERROR(INDEX(FORPTB13!$H$4:$H$580,_xlfn.AGGREGATE(15,6,(ROW(FORPTB13!$B$4:$B$580)-ROW(FORPTB13!#REF!)+1)/((FORPTB13!$B$4:$B$580=$B$5)),ROW(FORPTB13!#REF!))),"")</f>
        <v/>
      </c>
      <c r="G26" s="44" t="str">
        <f ca="1">IFERROR(INDEX(FORPTB13!$J$4:$J$580,_xlfn.AGGREGATE(15,6,(ROW(FORPTB13!$B$4:$B$580)-ROW(FORPTB13!#REF!)+1)/((FORPTB13!$B$4:$B$580=$B$5)),ROW(FORPTB13!#REF!))),"")</f>
        <v/>
      </c>
      <c r="H26" s="44" t="str">
        <f ca="1">IFERROR(INDEX(FORPTB13!$K$4:$K$580,_xlfn.AGGREGATE(15,6,(ROW(FORPTB13!$B$4:$B$580)-ROW(FORPTB13!#REF!)+1)/((FORPTB13!$B$4:$B$580=$B$5)),ROW(FORPTB13!#REF!))),"")</f>
        <v/>
      </c>
      <c r="I26" s="44" t="str">
        <f ca="1">IFERROR(INDEX(FORPTB13!$T$4:$T$580,_xlfn.AGGREGATE(15,6,(ROW(FORPTB13!$B$4:$B$580)-ROW(FORPTB13!#REF!)+1)/((FORPTB13!$B$4:$B$580=$B$5)),ROW(FORPTB13!#REF!))),"")</f>
        <v/>
      </c>
      <c r="J26" s="46" t="str">
        <f ca="1">IFERROR(INDEX(FORPTB13!$I$4:$I$580,_xlfn.AGGREGATE(15,6,(ROW(FORPTB13!$B$4:$B$580)-ROW(FORPTB13!#REF!)+1)/((FORPTB13!$B$4:$B$580=$B$5)),ROW(FORPTB13!#REF!))),"")</f>
        <v/>
      </c>
      <c r="K26" s="45" t="str">
        <f ca="1">IFERROR(INDEX(FORPTB13!$N$4:$N$580,_xlfn.AGGREGATE(15,6,(ROW(FORPTB13!$B$4:$B$580)-ROW(FORPTB13!#REF!)+1)/((FORPTB13!$B$4:$B$580=$B$5)),ROW(FORPTB13!#REF!))),"")</f>
        <v/>
      </c>
      <c r="L26" s="45" t="str">
        <f t="shared" ca="1" si="1"/>
        <v xml:space="preserve">  </v>
      </c>
      <c r="M26" s="46" t="str">
        <f ca="1">IFERROR(INDEX(FORPTB13!$L$4:$L$580,_xlfn.AGGREGATE(15,6,(ROW(FORPTB13!$B$4:$B$580)-ROW(FORPTB13!#REF!)+1)/((FORPTB13!$B$4:$B$580=$B$5)),ROW(FORPTB13!#REF!))),"")</f>
        <v/>
      </c>
      <c r="N26" s="44" t="str">
        <f ca="1">IFERROR(INDEX(FORPTB13!$M$4:$M$580,_xlfn.AGGREGATE(15,6,(ROW(FORPTB13!$B$4:$B$580)-ROW(FORPTB13!#REF!)+1)/((FORPTB13!$B$4:$B$580=$B$5)),ROW(FORPTB13!#REF!))),"")</f>
        <v/>
      </c>
    </row>
    <row r="27" spans="4:14" ht="16.8" x14ac:dyDescent="0.4">
      <c r="D27" s="41" t="str">
        <f t="shared" ca="1" si="2"/>
        <v/>
      </c>
      <c r="E27" s="41" t="str">
        <f ca="1">IFERROR(INDEX(FORPTB13!$F$4:$F$580,_xlfn.AGGREGATE(15,6,(ROW(FORPTB13!$B$4:$B$580)-ROW(FORPTB13!#REF!)+1)/((FORPTB13!$B$4:$B$580=$B$5)),ROW(FORPTB13!#REF!))),"")</f>
        <v/>
      </c>
      <c r="F27" s="47" t="str">
        <f ca="1">IFERROR(INDEX(FORPTB13!$H$4:$H$580,_xlfn.AGGREGATE(15,6,(ROW(FORPTB13!$B$4:$B$580)-ROW(FORPTB13!#REF!)+1)/((FORPTB13!$B$4:$B$580=$B$5)),ROW(FORPTB13!#REF!))),"")</f>
        <v/>
      </c>
      <c r="G27" s="41" t="str">
        <f ca="1">IFERROR(INDEX(FORPTB13!$J$4:$J$580,_xlfn.AGGREGATE(15,6,(ROW(FORPTB13!$B$4:$B$580)-ROW(FORPTB13!#REF!)+1)/((FORPTB13!$B$4:$B$580=$B$5)),ROW(FORPTB13!#REF!))),"")</f>
        <v/>
      </c>
      <c r="H27" s="41" t="str">
        <f ca="1">IFERROR(INDEX(FORPTB13!$K$4:$K$580,_xlfn.AGGREGATE(15,6,(ROW(FORPTB13!$B$4:$B$580)-ROW(FORPTB13!#REF!)+1)/((FORPTB13!$B$4:$B$580=$B$5)),ROW(FORPTB13!#REF!))),"")</f>
        <v/>
      </c>
      <c r="I27" s="41" t="str">
        <f ca="1">IFERROR(INDEX(FORPTB13!$T$4:$T$580,_xlfn.AGGREGATE(15,6,(ROW(FORPTB13!$B$4:$B$580)-ROW(FORPTB13!#REF!)+1)/((FORPTB13!$B$4:$B$580=$B$5)),ROW(FORPTB13!#REF!))),"")</f>
        <v/>
      </c>
      <c r="J27" s="43" t="str">
        <f ca="1">IFERROR(INDEX(FORPTB13!$I$4:$I$580,_xlfn.AGGREGATE(15,6,(ROW(FORPTB13!$B$4:$B$580)-ROW(FORPTB13!#REF!)+1)/((FORPTB13!$B$4:$B$580=$B$5)),ROW(FORPTB13!#REF!))),"")</f>
        <v/>
      </c>
      <c r="K27" s="42" t="str">
        <f ca="1">IFERROR(INDEX(FORPTB13!$N$4:$N$580,_xlfn.AGGREGATE(15,6,(ROW(FORPTB13!$B$4:$B$580)-ROW(FORPTB13!#REF!)+1)/((FORPTB13!$B$4:$B$580=$B$5)),ROW(FORPTB13!#REF!))),"")</f>
        <v/>
      </c>
      <c r="L27" s="42" t="str">
        <f t="shared" ca="1" si="1"/>
        <v xml:space="preserve">  </v>
      </c>
      <c r="M27" s="43" t="str">
        <f ca="1">IFERROR(INDEX(FORPTB13!$L$4:$L$580,_xlfn.AGGREGATE(15,6,(ROW(FORPTB13!$B$4:$B$580)-ROW(FORPTB13!#REF!)+1)/((FORPTB13!$B$4:$B$580=$B$5)),ROW(FORPTB13!#REF!))),"")</f>
        <v/>
      </c>
      <c r="N27" s="41" t="str">
        <f ca="1">IFERROR(INDEX(FORPTB13!$M$4:$M$580,_xlfn.AGGREGATE(15,6,(ROW(FORPTB13!$B$4:$B$580)-ROW(FORPTB13!#REF!)+1)/((FORPTB13!$B$4:$B$580=$B$5)),ROW(FORPTB13!#REF!))),"")</f>
        <v/>
      </c>
    </row>
    <row r="28" spans="4:14" ht="16.8" x14ac:dyDescent="0.4">
      <c r="D28" s="44" t="str">
        <f t="shared" ca="1" si="2"/>
        <v/>
      </c>
      <c r="E28" s="44" t="str">
        <f ca="1">IFERROR(INDEX(FORPTB13!$F$4:$F$580,_xlfn.AGGREGATE(15,6,(ROW(FORPTB13!$B$4:$B$580)-ROW(FORPTB13!#REF!)+1)/((FORPTB13!$B$4:$B$580=$B$5)),ROW(FORPTB13!#REF!))),"")</f>
        <v/>
      </c>
      <c r="F28" s="44" t="str">
        <f ca="1">IFERROR(INDEX(FORPTB13!$H$4:$H$580,_xlfn.AGGREGATE(15,6,(ROW(FORPTB13!$B$4:$B$580)-ROW(FORPTB13!#REF!)+1)/((FORPTB13!$B$4:$B$580=$B$5)),ROW(FORPTB13!#REF!))),"")</f>
        <v/>
      </c>
      <c r="G28" s="44" t="str">
        <f ca="1">IFERROR(INDEX(FORPTB13!$J$4:$J$580,_xlfn.AGGREGATE(15,6,(ROW(FORPTB13!$B$4:$B$580)-ROW(FORPTB13!#REF!)+1)/((FORPTB13!$B$4:$B$580=$B$5)),ROW(FORPTB13!#REF!))),"")</f>
        <v/>
      </c>
      <c r="H28" s="44" t="str">
        <f ca="1">IFERROR(INDEX(FORPTB13!$K$4:$K$580,_xlfn.AGGREGATE(15,6,(ROW(FORPTB13!$B$4:$B$580)-ROW(FORPTB13!#REF!)+1)/((FORPTB13!$B$4:$B$580=$B$5)),ROW(FORPTB13!#REF!))),"")</f>
        <v/>
      </c>
      <c r="I28" s="44" t="str">
        <f ca="1">IFERROR(INDEX(FORPTB13!$T$4:$T$580,_xlfn.AGGREGATE(15,6,(ROW(FORPTB13!$B$4:$B$580)-ROW(FORPTB13!#REF!)+1)/((FORPTB13!$B$4:$B$580=$B$5)),ROW(FORPTB13!#REF!))),"")</f>
        <v/>
      </c>
      <c r="J28" s="46" t="str">
        <f ca="1">IFERROR(INDEX(FORPTB13!$I$4:$I$580,_xlfn.AGGREGATE(15,6,(ROW(FORPTB13!$B$4:$B$580)-ROW(FORPTB13!#REF!)+1)/((FORPTB13!$B$4:$B$580=$B$5)),ROW(FORPTB13!#REF!))),"")</f>
        <v/>
      </c>
      <c r="K28" s="45" t="str">
        <f ca="1">IFERROR(INDEX(FORPTB13!$N$4:$N$580,_xlfn.AGGREGATE(15,6,(ROW(FORPTB13!$B$4:$B$580)-ROW(FORPTB13!#REF!)+1)/((FORPTB13!$B$4:$B$580=$B$5)),ROW(FORPTB13!#REF!))),"")</f>
        <v/>
      </c>
      <c r="L28" s="45" t="str">
        <f t="shared" ca="1" si="1"/>
        <v xml:space="preserve">  </v>
      </c>
      <c r="M28" s="46" t="str">
        <f ca="1">IFERROR(INDEX(FORPTB13!$L$4:$L$580,_xlfn.AGGREGATE(15,6,(ROW(FORPTB13!$B$4:$B$580)-ROW(FORPTB13!#REF!)+1)/((FORPTB13!$B$4:$B$580=$B$5)),ROW(FORPTB13!#REF!))),"")</f>
        <v/>
      </c>
      <c r="N28" s="44" t="str">
        <f ca="1">IFERROR(INDEX(FORPTB13!$M$4:$M$580,_xlfn.AGGREGATE(15,6,(ROW(FORPTB13!$B$4:$B$580)-ROW(FORPTB13!#REF!)+1)/((FORPTB13!$B$4:$B$580=$B$5)),ROW(FORPTB13!#REF!))),"")</f>
        <v/>
      </c>
    </row>
    <row r="29" spans="4:14" ht="16.8" x14ac:dyDescent="0.4">
      <c r="D29" s="41" t="str">
        <f t="shared" ca="1" si="2"/>
        <v/>
      </c>
      <c r="E29" s="41" t="str">
        <f ca="1">IFERROR(INDEX(FORPTB13!$F$4:$F$580,_xlfn.AGGREGATE(15,6,(ROW(FORPTB13!$B$4:$B$580)-ROW(FORPTB13!#REF!)+1)/((FORPTB13!$B$4:$B$580=$B$5)),ROW(FORPTB13!#REF!))),"")</f>
        <v/>
      </c>
      <c r="F29" s="47" t="str">
        <f ca="1">IFERROR(INDEX(FORPTB13!$H$4:$H$580,_xlfn.AGGREGATE(15,6,(ROW(FORPTB13!$B$4:$B$580)-ROW(FORPTB13!#REF!)+1)/((FORPTB13!$B$4:$B$580=$B$5)),ROW(FORPTB13!#REF!))),"")</f>
        <v/>
      </c>
      <c r="G29" s="41" t="str">
        <f ca="1">IFERROR(INDEX(FORPTB13!$J$4:$J$580,_xlfn.AGGREGATE(15,6,(ROW(FORPTB13!$B$4:$B$580)-ROW(FORPTB13!#REF!)+1)/((FORPTB13!$B$4:$B$580=$B$5)),ROW(FORPTB13!#REF!))),"")</f>
        <v/>
      </c>
      <c r="H29" s="41" t="str">
        <f ca="1">IFERROR(INDEX(FORPTB13!$K$4:$K$580,_xlfn.AGGREGATE(15,6,(ROW(FORPTB13!$B$4:$B$580)-ROW(FORPTB13!#REF!)+1)/((FORPTB13!$B$4:$B$580=$B$5)),ROW(FORPTB13!#REF!))),"")</f>
        <v/>
      </c>
      <c r="I29" s="41" t="str">
        <f ca="1">IFERROR(INDEX(FORPTB13!$T$4:$T$580,_xlfn.AGGREGATE(15,6,(ROW(FORPTB13!$B$4:$B$580)-ROW(FORPTB13!#REF!)+1)/((FORPTB13!$B$4:$B$580=$B$5)),ROW(FORPTB13!#REF!))),"")</f>
        <v/>
      </c>
      <c r="J29" s="43" t="str">
        <f ca="1">IFERROR(INDEX(FORPTB13!$I$4:$I$580,_xlfn.AGGREGATE(15,6,(ROW(FORPTB13!$B$4:$B$580)-ROW(FORPTB13!#REF!)+1)/((FORPTB13!$B$4:$B$580=$B$5)),ROW(FORPTB13!#REF!))),"")</f>
        <v/>
      </c>
      <c r="K29" s="42" t="str">
        <f ca="1">IFERROR(INDEX(FORPTB13!$N$4:$N$580,_xlfn.AGGREGATE(15,6,(ROW(FORPTB13!$B$4:$B$580)-ROW(FORPTB13!#REF!)+1)/((FORPTB13!$B$4:$B$580=$B$5)),ROW(FORPTB13!#REF!))),"")</f>
        <v/>
      </c>
      <c r="L29" s="42" t="str">
        <f t="shared" ca="1" si="1"/>
        <v xml:space="preserve">  </v>
      </c>
      <c r="M29" s="43" t="str">
        <f ca="1">IFERROR(INDEX(FORPTB13!$L$4:$L$580,_xlfn.AGGREGATE(15,6,(ROW(FORPTB13!$B$4:$B$580)-ROW(FORPTB13!#REF!)+1)/((FORPTB13!$B$4:$B$580=$B$5)),ROW(FORPTB13!#REF!))),"")</f>
        <v/>
      </c>
      <c r="N29" s="41" t="str">
        <f ca="1">IFERROR(INDEX(FORPTB13!$M$4:$M$580,_xlfn.AGGREGATE(15,6,(ROW(FORPTB13!$B$4:$B$580)-ROW(FORPTB13!#REF!)+1)/((FORPTB13!$B$4:$B$580=$B$5)),ROW(FORPTB13!#REF!))),"")</f>
        <v/>
      </c>
    </row>
    <row r="30" spans="4:14" ht="16.8" x14ac:dyDescent="0.4">
      <c r="D30" s="44" t="str">
        <f t="shared" ca="1" si="2"/>
        <v/>
      </c>
      <c r="E30" s="44" t="str">
        <f ca="1">IFERROR(INDEX(FORPTB13!$F$4:$F$580,_xlfn.AGGREGATE(15,6,(ROW(FORPTB13!$B$4:$B$580)-ROW(FORPTB13!#REF!)+1)/((FORPTB13!$B$4:$B$580=$B$5)),ROW(FORPTB13!#REF!))),"")</f>
        <v/>
      </c>
      <c r="F30" s="44" t="str">
        <f ca="1">IFERROR(INDEX(FORPTB13!$H$4:$H$580,_xlfn.AGGREGATE(15,6,(ROW(FORPTB13!$B$4:$B$580)-ROW(FORPTB13!#REF!)+1)/((FORPTB13!$B$4:$B$580=$B$5)),ROW(FORPTB13!#REF!))),"")</f>
        <v/>
      </c>
      <c r="G30" s="44" t="str">
        <f ca="1">IFERROR(INDEX(FORPTB13!$J$4:$J$580,_xlfn.AGGREGATE(15,6,(ROW(FORPTB13!$B$4:$B$580)-ROW(FORPTB13!#REF!)+1)/((FORPTB13!$B$4:$B$580=$B$5)),ROW(FORPTB13!#REF!))),"")</f>
        <v/>
      </c>
      <c r="H30" s="44" t="str">
        <f ca="1">IFERROR(INDEX(FORPTB13!$K$4:$K$580,_xlfn.AGGREGATE(15,6,(ROW(FORPTB13!$B$4:$B$580)-ROW(FORPTB13!#REF!)+1)/((FORPTB13!$B$4:$B$580=$B$5)),ROW(FORPTB13!#REF!))),"")</f>
        <v/>
      </c>
      <c r="I30" s="44" t="str">
        <f ca="1">IFERROR(INDEX(FORPTB13!$T$4:$T$580,_xlfn.AGGREGATE(15,6,(ROW(FORPTB13!$B$4:$B$580)-ROW(FORPTB13!#REF!)+1)/((FORPTB13!$B$4:$B$580=$B$5)),ROW(FORPTB13!#REF!))),"")</f>
        <v/>
      </c>
      <c r="J30" s="46" t="str">
        <f ca="1">IFERROR(INDEX(FORPTB13!$I$4:$I$580,_xlfn.AGGREGATE(15,6,(ROW(FORPTB13!$B$4:$B$580)-ROW(FORPTB13!#REF!)+1)/((FORPTB13!$B$4:$B$580=$B$5)),ROW(FORPTB13!#REF!))),"")</f>
        <v/>
      </c>
      <c r="K30" s="45" t="str">
        <f ca="1">IFERROR(INDEX(FORPTB13!$N$4:$N$580,_xlfn.AGGREGATE(15,6,(ROW(FORPTB13!$B$4:$B$580)-ROW(FORPTB13!#REF!)+1)/((FORPTB13!$B$4:$B$580=$B$5)),ROW(FORPTB13!#REF!))),"")</f>
        <v/>
      </c>
      <c r="L30" s="45" t="str">
        <f t="shared" ca="1" si="1"/>
        <v xml:space="preserve">  </v>
      </c>
      <c r="M30" s="46" t="str">
        <f ca="1">IFERROR(INDEX(FORPTB13!$L$4:$L$580,_xlfn.AGGREGATE(15,6,(ROW(FORPTB13!$B$4:$B$580)-ROW(FORPTB13!#REF!)+1)/((FORPTB13!$B$4:$B$580=$B$5)),ROW(FORPTB13!#REF!))),"")</f>
        <v/>
      </c>
      <c r="N30" s="44" t="str">
        <f ca="1">IFERROR(INDEX(FORPTB13!$M$4:$M$580,_xlfn.AGGREGATE(15,6,(ROW(FORPTB13!$B$4:$B$580)-ROW(FORPTB13!#REF!)+1)/((FORPTB13!$B$4:$B$580=$B$5)),ROW(FORPTB13!#REF!))),"")</f>
        <v/>
      </c>
    </row>
    <row r="31" spans="4:14" ht="16.8" x14ac:dyDescent="0.4">
      <c r="D31" s="41" t="str">
        <f t="shared" ca="1" si="2"/>
        <v/>
      </c>
      <c r="E31" s="41" t="str">
        <f ca="1">IFERROR(INDEX(FORPTB13!$F$4:$F$580,_xlfn.AGGREGATE(15,6,(ROW(FORPTB13!$B$4:$B$580)-ROW(FORPTB13!#REF!)+1)/((FORPTB13!$B$4:$B$580=$B$5)),ROW(FORPTB13!#REF!))),"")</f>
        <v/>
      </c>
      <c r="F31" s="47" t="str">
        <f ca="1">IFERROR(INDEX(FORPTB13!$H$4:$H$580,_xlfn.AGGREGATE(15,6,(ROW(FORPTB13!$B$4:$B$580)-ROW(FORPTB13!#REF!)+1)/((FORPTB13!$B$4:$B$580=$B$5)),ROW(FORPTB13!#REF!))),"")</f>
        <v/>
      </c>
      <c r="G31" s="41" t="str">
        <f ca="1">IFERROR(INDEX(FORPTB13!$J$4:$J$580,_xlfn.AGGREGATE(15,6,(ROW(FORPTB13!$B$4:$B$580)-ROW(FORPTB13!#REF!)+1)/((FORPTB13!$B$4:$B$580=$B$5)),ROW(FORPTB13!#REF!))),"")</f>
        <v/>
      </c>
      <c r="H31" s="41" t="str">
        <f ca="1">IFERROR(INDEX(FORPTB13!$K$4:$K$580,_xlfn.AGGREGATE(15,6,(ROW(FORPTB13!$B$4:$B$580)-ROW(FORPTB13!#REF!)+1)/((FORPTB13!$B$4:$B$580=$B$5)),ROW(FORPTB13!#REF!))),"")</f>
        <v/>
      </c>
      <c r="I31" s="41" t="str">
        <f ca="1">IFERROR(INDEX(FORPTB13!$T$4:$T$580,_xlfn.AGGREGATE(15,6,(ROW(FORPTB13!$B$4:$B$580)-ROW(FORPTB13!#REF!)+1)/((FORPTB13!$B$4:$B$580=$B$5)),ROW(FORPTB13!#REF!))),"")</f>
        <v/>
      </c>
      <c r="J31" s="43" t="str">
        <f ca="1">IFERROR(INDEX(FORPTB13!$I$4:$I$580,_xlfn.AGGREGATE(15,6,(ROW(FORPTB13!$B$4:$B$580)-ROW(FORPTB13!#REF!)+1)/((FORPTB13!$B$4:$B$580=$B$5)),ROW(FORPTB13!#REF!))),"")</f>
        <v/>
      </c>
      <c r="K31" s="42" t="str">
        <f ca="1">IFERROR(INDEX(FORPTB13!$N$4:$N$580,_xlfn.AGGREGATE(15,6,(ROW(FORPTB13!$B$4:$B$580)-ROW(FORPTB13!#REF!)+1)/((FORPTB13!$B$4:$B$580=$B$5)),ROW(FORPTB13!#REF!))),"")</f>
        <v/>
      </c>
      <c r="L31" s="42" t="str">
        <f t="shared" ca="1" si="1"/>
        <v xml:space="preserve">  </v>
      </c>
      <c r="M31" s="43" t="str">
        <f ca="1">IFERROR(INDEX(FORPTB13!$L$4:$L$580,_xlfn.AGGREGATE(15,6,(ROW(FORPTB13!$B$4:$B$580)-ROW(FORPTB13!#REF!)+1)/((FORPTB13!$B$4:$B$580=$B$5)),ROW(FORPTB13!#REF!))),"")</f>
        <v/>
      </c>
      <c r="N31" s="41" t="str">
        <f ca="1">IFERROR(INDEX(FORPTB13!$M$4:$M$580,_xlfn.AGGREGATE(15,6,(ROW(FORPTB13!$B$4:$B$580)-ROW(FORPTB13!#REF!)+1)/((FORPTB13!$B$4:$B$580=$B$5)),ROW(FORPTB13!#REF!))),"")</f>
        <v/>
      </c>
    </row>
    <row r="32" spans="4:14" ht="16.8" x14ac:dyDescent="0.4">
      <c r="D32" s="44" t="str">
        <f t="shared" ca="1" si="2"/>
        <v/>
      </c>
      <c r="E32" s="44" t="str">
        <f ca="1">IFERROR(INDEX(FORPTB13!$F$4:$F$580,_xlfn.AGGREGATE(15,6,(ROW(FORPTB13!$B$4:$B$580)-ROW(FORPTB13!#REF!)+1)/((FORPTB13!$B$4:$B$580=$B$5)),ROW(FORPTB13!#REF!))),"")</f>
        <v/>
      </c>
      <c r="F32" s="44" t="str">
        <f ca="1">IFERROR(INDEX(FORPTB13!$H$4:$H$580,_xlfn.AGGREGATE(15,6,(ROW(FORPTB13!$B$4:$B$580)-ROW(FORPTB13!#REF!)+1)/((FORPTB13!$B$4:$B$580=$B$5)),ROW(FORPTB13!#REF!))),"")</f>
        <v/>
      </c>
      <c r="G32" s="44" t="str">
        <f ca="1">IFERROR(INDEX(FORPTB13!$J$4:$J$580,_xlfn.AGGREGATE(15,6,(ROW(FORPTB13!$B$4:$B$580)-ROW(FORPTB13!#REF!)+1)/((FORPTB13!$B$4:$B$580=$B$5)),ROW(FORPTB13!#REF!))),"")</f>
        <v/>
      </c>
      <c r="H32" s="44" t="str">
        <f ca="1">IFERROR(INDEX(FORPTB13!$K$4:$K$580,_xlfn.AGGREGATE(15,6,(ROW(FORPTB13!$B$4:$B$580)-ROW(FORPTB13!#REF!)+1)/((FORPTB13!$B$4:$B$580=$B$5)),ROW(FORPTB13!#REF!))),"")</f>
        <v/>
      </c>
      <c r="I32" s="44" t="str">
        <f ca="1">IFERROR(INDEX(FORPTB13!$T$4:$T$580,_xlfn.AGGREGATE(15,6,(ROW(FORPTB13!$B$4:$B$580)-ROW(FORPTB13!#REF!)+1)/((FORPTB13!$B$4:$B$580=$B$5)),ROW(FORPTB13!#REF!))),"")</f>
        <v/>
      </c>
      <c r="J32" s="46" t="str">
        <f ca="1">IFERROR(INDEX(FORPTB13!$I$4:$I$580,_xlfn.AGGREGATE(15,6,(ROW(FORPTB13!$B$4:$B$580)-ROW(FORPTB13!#REF!)+1)/((FORPTB13!$B$4:$B$580=$B$5)),ROW(FORPTB13!#REF!))),"")</f>
        <v/>
      </c>
      <c r="K32" s="45" t="str">
        <f ca="1">IFERROR(INDEX(FORPTB13!$N$4:$N$580,_xlfn.AGGREGATE(15,6,(ROW(FORPTB13!$B$4:$B$580)-ROW(FORPTB13!#REF!)+1)/((FORPTB13!$B$4:$B$580=$B$5)),ROW(FORPTB13!#REF!))),"")</f>
        <v/>
      </c>
      <c r="L32" s="45" t="str">
        <f t="shared" ca="1" si="1"/>
        <v xml:space="preserve">  </v>
      </c>
      <c r="M32" s="46" t="str">
        <f ca="1">IFERROR(INDEX(FORPTB13!$L$4:$L$580,_xlfn.AGGREGATE(15,6,(ROW(FORPTB13!$B$4:$B$580)-ROW(FORPTB13!#REF!)+1)/((FORPTB13!$B$4:$B$580=$B$5)),ROW(FORPTB13!#REF!))),"")</f>
        <v/>
      </c>
      <c r="N32" s="44" t="str">
        <f ca="1">IFERROR(INDEX(FORPTB13!$M$4:$M$580,_xlfn.AGGREGATE(15,6,(ROW(FORPTB13!$B$4:$B$580)-ROW(FORPTB13!#REF!)+1)/((FORPTB13!$B$4:$B$580=$B$5)),ROW(FORPTB13!#REF!))),"")</f>
        <v/>
      </c>
    </row>
    <row r="33" spans="4:14" ht="16.8" x14ac:dyDescent="0.4">
      <c r="D33" s="41" t="str">
        <f t="shared" ca="1" si="2"/>
        <v/>
      </c>
      <c r="E33" s="41" t="str">
        <f ca="1">IFERROR(INDEX(FORPTB13!$F$4:$F$580,_xlfn.AGGREGATE(15,6,(ROW(FORPTB13!$B$4:$B$580)-ROW(FORPTB13!#REF!)+1)/((FORPTB13!$B$4:$B$580=$B$5)),ROW(FORPTB13!#REF!))),"")</f>
        <v/>
      </c>
      <c r="F33" s="47" t="str">
        <f ca="1">IFERROR(INDEX(FORPTB13!$H$4:$H$580,_xlfn.AGGREGATE(15,6,(ROW(FORPTB13!$B$4:$B$580)-ROW(FORPTB13!#REF!)+1)/((FORPTB13!$B$4:$B$580=$B$5)),ROW(FORPTB13!#REF!))),"")</f>
        <v/>
      </c>
      <c r="G33" s="41" t="str">
        <f ca="1">IFERROR(INDEX(FORPTB13!$J$4:$J$580,_xlfn.AGGREGATE(15,6,(ROW(FORPTB13!$B$4:$B$580)-ROW(FORPTB13!#REF!)+1)/((FORPTB13!$B$4:$B$580=$B$5)),ROW(FORPTB13!#REF!))),"")</f>
        <v/>
      </c>
      <c r="H33" s="41" t="str">
        <f ca="1">IFERROR(INDEX(FORPTB13!$K$4:$K$580,_xlfn.AGGREGATE(15,6,(ROW(FORPTB13!$B$4:$B$580)-ROW(FORPTB13!#REF!)+1)/((FORPTB13!$B$4:$B$580=$B$5)),ROW(FORPTB13!#REF!))),"")</f>
        <v/>
      </c>
      <c r="I33" s="41" t="str">
        <f ca="1">IFERROR(INDEX(FORPTB13!$T$4:$T$580,_xlfn.AGGREGATE(15,6,(ROW(FORPTB13!$B$4:$B$580)-ROW(FORPTB13!#REF!)+1)/((FORPTB13!$B$4:$B$580=$B$5)),ROW(FORPTB13!#REF!))),"")</f>
        <v/>
      </c>
      <c r="J33" s="43" t="str">
        <f ca="1">IFERROR(INDEX(FORPTB13!$I$4:$I$580,_xlfn.AGGREGATE(15,6,(ROW(FORPTB13!$B$4:$B$580)-ROW(FORPTB13!#REF!)+1)/((FORPTB13!$B$4:$B$580=$B$5)),ROW(FORPTB13!#REF!))),"")</f>
        <v/>
      </c>
      <c r="K33" s="42" t="str">
        <f ca="1">IFERROR(INDEX(FORPTB13!$N$4:$N$580,_xlfn.AGGREGATE(15,6,(ROW(FORPTB13!$B$4:$B$580)-ROW(FORPTB13!#REF!)+1)/((FORPTB13!$B$4:$B$580=$B$5)),ROW(FORPTB13!#REF!))),"")</f>
        <v/>
      </c>
      <c r="L33" s="42" t="str">
        <f t="shared" ca="1" si="1"/>
        <v xml:space="preserve">  </v>
      </c>
      <c r="M33" s="43" t="str">
        <f ca="1">IFERROR(INDEX(FORPTB13!$L$4:$L$580,_xlfn.AGGREGATE(15,6,(ROW(FORPTB13!$B$4:$B$580)-ROW(FORPTB13!#REF!)+1)/((FORPTB13!$B$4:$B$580=$B$5)),ROW(FORPTB13!#REF!))),"")</f>
        <v/>
      </c>
      <c r="N33" s="41" t="str">
        <f ca="1">IFERROR(INDEX(FORPTB13!$M$4:$M$580,_xlfn.AGGREGATE(15,6,(ROW(FORPTB13!$B$4:$B$580)-ROW(FORPTB13!#REF!)+1)/((FORPTB13!$B$4:$B$580=$B$5)),ROW(FORPTB13!#REF!))),"")</f>
        <v/>
      </c>
    </row>
    <row r="34" spans="4:14" ht="16.8" x14ac:dyDescent="0.4">
      <c r="D34" s="44" t="str">
        <f t="shared" ca="1" si="2"/>
        <v/>
      </c>
      <c r="E34" s="44" t="str">
        <f ca="1">IFERROR(INDEX(FORPTB13!$F$4:$F$580,_xlfn.AGGREGATE(15,6,(ROW(FORPTB13!$B$4:$B$580)-ROW(FORPTB13!#REF!)+1)/((FORPTB13!$B$4:$B$580=$B$5)),ROW(FORPTB13!#REF!))),"")</f>
        <v/>
      </c>
      <c r="F34" s="44" t="str">
        <f ca="1">IFERROR(INDEX(FORPTB13!$H$4:$H$580,_xlfn.AGGREGATE(15,6,(ROW(FORPTB13!$B$4:$B$580)-ROW(FORPTB13!#REF!)+1)/((FORPTB13!$B$4:$B$580=$B$5)),ROW(FORPTB13!#REF!))),"")</f>
        <v/>
      </c>
      <c r="G34" s="44" t="str">
        <f ca="1">IFERROR(INDEX(FORPTB13!$J$4:$J$580,_xlfn.AGGREGATE(15,6,(ROW(FORPTB13!$B$4:$B$580)-ROW(FORPTB13!#REF!)+1)/((FORPTB13!$B$4:$B$580=$B$5)),ROW(FORPTB13!#REF!))),"")</f>
        <v/>
      </c>
      <c r="H34" s="44" t="str">
        <f ca="1">IFERROR(INDEX(FORPTB13!$K$4:$K$580,_xlfn.AGGREGATE(15,6,(ROW(FORPTB13!$B$4:$B$580)-ROW(FORPTB13!#REF!)+1)/((FORPTB13!$B$4:$B$580=$B$5)),ROW(FORPTB13!#REF!))),"")</f>
        <v/>
      </c>
      <c r="I34" s="44" t="str">
        <f ca="1">IFERROR(INDEX(FORPTB13!$T$4:$T$580,_xlfn.AGGREGATE(15,6,(ROW(FORPTB13!$B$4:$B$580)-ROW(FORPTB13!#REF!)+1)/((FORPTB13!$B$4:$B$580=$B$5)),ROW(FORPTB13!#REF!))),"")</f>
        <v/>
      </c>
      <c r="J34" s="46" t="str">
        <f ca="1">IFERROR(INDEX(FORPTB13!$I$4:$I$580,_xlfn.AGGREGATE(15,6,(ROW(FORPTB13!$B$4:$B$580)-ROW(FORPTB13!#REF!)+1)/((FORPTB13!$B$4:$B$580=$B$5)),ROW(FORPTB13!#REF!))),"")</f>
        <v/>
      </c>
      <c r="K34" s="45" t="str">
        <f ca="1">IFERROR(INDEX(FORPTB13!$N$4:$N$580,_xlfn.AGGREGATE(15,6,(ROW(FORPTB13!$B$4:$B$580)-ROW(FORPTB13!#REF!)+1)/((FORPTB13!$B$4:$B$580=$B$5)),ROW(FORPTB13!#REF!))),"")</f>
        <v/>
      </c>
      <c r="L34" s="45" t="str">
        <f t="shared" ca="1" si="1"/>
        <v xml:space="preserve">  </v>
      </c>
      <c r="M34" s="46" t="str">
        <f ca="1">IFERROR(INDEX(FORPTB13!$L$4:$L$580,_xlfn.AGGREGATE(15,6,(ROW(FORPTB13!$B$4:$B$580)-ROW(FORPTB13!#REF!)+1)/((FORPTB13!$B$4:$B$580=$B$5)),ROW(FORPTB13!#REF!))),"")</f>
        <v/>
      </c>
      <c r="N34" s="44" t="str">
        <f ca="1">IFERROR(INDEX(FORPTB13!$M$4:$M$580,_xlfn.AGGREGATE(15,6,(ROW(FORPTB13!$B$4:$B$580)-ROW(FORPTB13!#REF!)+1)/((FORPTB13!$B$4:$B$580=$B$5)),ROW(FORPTB13!#REF!))),"")</f>
        <v/>
      </c>
    </row>
    <row r="35" spans="4:14" ht="16.8" x14ac:dyDescent="0.4">
      <c r="D35" s="41" t="str">
        <f t="shared" ca="1" si="2"/>
        <v/>
      </c>
      <c r="E35" s="41" t="str">
        <f ca="1">IFERROR(INDEX(FORPTB13!$F$4:$F$580,_xlfn.AGGREGATE(15,6,(ROW(FORPTB13!$B$4:$B$580)-ROW(FORPTB13!#REF!)+1)/((FORPTB13!$B$4:$B$580=$B$5)),ROW(FORPTB13!#REF!))),"")</f>
        <v/>
      </c>
      <c r="F35" s="47" t="str">
        <f ca="1">IFERROR(INDEX(FORPTB13!$H$4:$H$580,_xlfn.AGGREGATE(15,6,(ROW(FORPTB13!$B$4:$B$580)-ROW(FORPTB13!#REF!)+1)/((FORPTB13!$B$4:$B$580=$B$5)),ROW(FORPTB13!#REF!))),"")</f>
        <v/>
      </c>
      <c r="G35" s="41" t="str">
        <f ca="1">IFERROR(INDEX(FORPTB13!$J$4:$J$580,_xlfn.AGGREGATE(15,6,(ROW(FORPTB13!$B$4:$B$580)-ROW(FORPTB13!#REF!)+1)/((FORPTB13!$B$4:$B$580=$B$5)),ROW(FORPTB13!#REF!))),"")</f>
        <v/>
      </c>
      <c r="H35" s="41" t="str">
        <f ca="1">IFERROR(INDEX(FORPTB13!$K$4:$K$580,_xlfn.AGGREGATE(15,6,(ROW(FORPTB13!$B$4:$B$580)-ROW(FORPTB13!#REF!)+1)/((FORPTB13!$B$4:$B$580=$B$5)),ROW(FORPTB13!#REF!))),"")</f>
        <v/>
      </c>
      <c r="I35" s="41" t="str">
        <f ca="1">IFERROR(INDEX(FORPTB13!$T$4:$T$580,_xlfn.AGGREGATE(15,6,(ROW(FORPTB13!$B$4:$B$580)-ROW(FORPTB13!#REF!)+1)/((FORPTB13!$B$4:$B$580=$B$5)),ROW(FORPTB13!#REF!))),"")</f>
        <v/>
      </c>
      <c r="J35" s="43" t="str">
        <f ca="1">IFERROR(INDEX(FORPTB13!$I$4:$I$580,_xlfn.AGGREGATE(15,6,(ROW(FORPTB13!$B$4:$B$580)-ROW(FORPTB13!#REF!)+1)/((FORPTB13!$B$4:$B$580=$B$5)),ROW(FORPTB13!#REF!))),"")</f>
        <v/>
      </c>
      <c r="K35" s="42" t="str">
        <f ca="1">IFERROR(INDEX(FORPTB13!$N$4:$N$580,_xlfn.AGGREGATE(15,6,(ROW(FORPTB13!$B$4:$B$580)-ROW(FORPTB13!#REF!)+1)/((FORPTB13!$B$4:$B$580=$B$5)),ROW(FORPTB13!#REF!))),"")</f>
        <v/>
      </c>
      <c r="L35" s="42" t="str">
        <f t="shared" ca="1" si="1"/>
        <v xml:space="preserve">  </v>
      </c>
      <c r="M35" s="43" t="str">
        <f ca="1">IFERROR(INDEX(FORPTB13!$L$4:$L$580,_xlfn.AGGREGATE(15,6,(ROW(FORPTB13!$B$4:$B$580)-ROW(FORPTB13!#REF!)+1)/((FORPTB13!$B$4:$B$580=$B$5)),ROW(FORPTB13!#REF!))),"")</f>
        <v/>
      </c>
      <c r="N35" s="41" t="str">
        <f ca="1">IFERROR(INDEX(FORPTB13!$M$4:$M$580,_xlfn.AGGREGATE(15,6,(ROW(FORPTB13!$B$4:$B$580)-ROW(FORPTB13!#REF!)+1)/((FORPTB13!$B$4:$B$580=$B$5)),ROW(FORPTB13!#REF!))),"")</f>
        <v/>
      </c>
    </row>
    <row r="36" spans="4:14" ht="16.8" x14ac:dyDescent="0.4">
      <c r="D36" s="44" t="str">
        <f t="shared" ca="1" si="2"/>
        <v/>
      </c>
      <c r="E36" s="44" t="str">
        <f ca="1">IFERROR(INDEX(FORPTB13!$F$4:$F$580,_xlfn.AGGREGATE(15,6,(ROW(FORPTB13!$B$4:$B$580)-ROW(FORPTB13!#REF!)+1)/((FORPTB13!$B$4:$B$580=$B$5)),ROW(FORPTB13!#REF!))),"")</f>
        <v/>
      </c>
      <c r="F36" s="44" t="str">
        <f ca="1">IFERROR(INDEX(FORPTB13!$H$4:$H$580,_xlfn.AGGREGATE(15,6,(ROW(FORPTB13!$B$4:$B$580)-ROW(FORPTB13!#REF!)+1)/((FORPTB13!$B$4:$B$580=$B$5)),ROW(FORPTB13!#REF!))),"")</f>
        <v/>
      </c>
      <c r="G36" s="44" t="str">
        <f ca="1">IFERROR(INDEX(FORPTB13!$J$4:$J$580,_xlfn.AGGREGATE(15,6,(ROW(FORPTB13!$B$4:$B$580)-ROW(FORPTB13!#REF!)+1)/((FORPTB13!$B$4:$B$580=$B$5)),ROW(FORPTB13!#REF!))),"")</f>
        <v/>
      </c>
      <c r="H36" s="44" t="str">
        <f ca="1">IFERROR(INDEX(FORPTB13!$K$4:$K$580,_xlfn.AGGREGATE(15,6,(ROW(FORPTB13!$B$4:$B$580)-ROW(FORPTB13!#REF!)+1)/((FORPTB13!$B$4:$B$580=$B$5)),ROW(FORPTB13!#REF!))),"")</f>
        <v/>
      </c>
      <c r="I36" s="44" t="str">
        <f ca="1">IFERROR(INDEX(FORPTB13!$T$4:$T$580,_xlfn.AGGREGATE(15,6,(ROW(FORPTB13!$B$4:$B$580)-ROW(FORPTB13!#REF!)+1)/((FORPTB13!$B$4:$B$580=$B$5)),ROW(FORPTB13!#REF!))),"")</f>
        <v/>
      </c>
      <c r="J36" s="46" t="str">
        <f ca="1">IFERROR(INDEX(FORPTB13!$I$4:$I$580,_xlfn.AGGREGATE(15,6,(ROW(FORPTB13!$B$4:$B$580)-ROW(FORPTB13!#REF!)+1)/((FORPTB13!$B$4:$B$580=$B$5)),ROW(FORPTB13!#REF!))),"")</f>
        <v/>
      </c>
      <c r="K36" s="45" t="str">
        <f ca="1">IFERROR(INDEX(FORPTB13!$N$4:$N$580,_xlfn.AGGREGATE(15,6,(ROW(FORPTB13!$B$4:$B$580)-ROW(FORPTB13!#REF!)+1)/((FORPTB13!$B$4:$B$580=$B$5)),ROW(FORPTB13!#REF!))),"")</f>
        <v/>
      </c>
      <c r="L36" s="45" t="str">
        <f t="shared" ca="1" si="1"/>
        <v xml:space="preserve">  </v>
      </c>
      <c r="M36" s="46" t="str">
        <f ca="1">IFERROR(INDEX(FORPTB13!$L$4:$L$580,_xlfn.AGGREGATE(15,6,(ROW(FORPTB13!$B$4:$B$580)-ROW(FORPTB13!#REF!)+1)/((FORPTB13!$B$4:$B$580=$B$5)),ROW(FORPTB13!#REF!))),"")</f>
        <v/>
      </c>
      <c r="N36" s="44" t="str">
        <f ca="1">IFERROR(INDEX(FORPTB13!$M$4:$M$580,_xlfn.AGGREGATE(15,6,(ROW(FORPTB13!$B$4:$B$580)-ROW(FORPTB13!#REF!)+1)/((FORPTB13!$B$4:$B$580=$B$5)),ROW(FORPTB13!#REF!))),"")</f>
        <v/>
      </c>
    </row>
    <row r="37" spans="4:14" ht="16.8" x14ac:dyDescent="0.4">
      <c r="D37" s="41" t="str">
        <f t="shared" ca="1" si="2"/>
        <v/>
      </c>
      <c r="E37" s="41" t="str">
        <f ca="1">IFERROR(INDEX(FORPTB13!$F$4:$F$580,_xlfn.AGGREGATE(15,6,(ROW(FORPTB13!$B$4:$B$580)-ROW(FORPTB13!#REF!)+1)/((FORPTB13!$B$4:$B$580=$B$5)),ROW(FORPTB13!#REF!))),"")</f>
        <v/>
      </c>
      <c r="F37" s="47" t="str">
        <f ca="1">IFERROR(INDEX(FORPTB13!$H$4:$H$580,_xlfn.AGGREGATE(15,6,(ROW(FORPTB13!$B$4:$B$580)-ROW(FORPTB13!#REF!)+1)/((FORPTB13!$B$4:$B$580=$B$5)),ROW(FORPTB13!#REF!))),"")</f>
        <v/>
      </c>
      <c r="G37" s="41" t="str">
        <f ca="1">IFERROR(INDEX(FORPTB13!$J$4:$J$580,_xlfn.AGGREGATE(15,6,(ROW(FORPTB13!$B$4:$B$580)-ROW(FORPTB13!#REF!)+1)/((FORPTB13!$B$4:$B$580=$B$5)),ROW(FORPTB13!#REF!))),"")</f>
        <v/>
      </c>
      <c r="H37" s="41" t="str">
        <f ca="1">IFERROR(INDEX(FORPTB13!$K$4:$K$580,_xlfn.AGGREGATE(15,6,(ROW(FORPTB13!$B$4:$B$580)-ROW(FORPTB13!#REF!)+1)/((FORPTB13!$B$4:$B$580=$B$5)),ROW(FORPTB13!#REF!))),"")</f>
        <v/>
      </c>
      <c r="I37" s="41" t="str">
        <f ca="1">IFERROR(INDEX(FORPTB13!$T$4:$T$580,_xlfn.AGGREGATE(15,6,(ROW(FORPTB13!$B$4:$B$580)-ROW(FORPTB13!#REF!)+1)/((FORPTB13!$B$4:$B$580=$B$5)),ROW(FORPTB13!#REF!))),"")</f>
        <v/>
      </c>
      <c r="J37" s="43" t="str">
        <f ca="1">IFERROR(INDEX(FORPTB13!$I$4:$I$580,_xlfn.AGGREGATE(15,6,(ROW(FORPTB13!$B$4:$B$580)-ROW(FORPTB13!#REF!)+1)/((FORPTB13!$B$4:$B$580=$B$5)),ROW(FORPTB13!#REF!))),"")</f>
        <v/>
      </c>
      <c r="K37" s="42" t="str">
        <f ca="1">IFERROR(INDEX(FORPTB13!$N$4:$N$580,_xlfn.AGGREGATE(15,6,(ROW(FORPTB13!$B$4:$B$580)-ROW(FORPTB13!#REF!)+1)/((FORPTB13!$B$4:$B$580=$B$5)),ROW(FORPTB13!#REF!))),"")</f>
        <v/>
      </c>
      <c r="L37" s="42" t="str">
        <f t="shared" ca="1" si="1"/>
        <v xml:space="preserve">  </v>
      </c>
      <c r="M37" s="43" t="str">
        <f ca="1">IFERROR(INDEX(FORPTB13!$L$4:$L$580,_xlfn.AGGREGATE(15,6,(ROW(FORPTB13!$B$4:$B$580)-ROW(FORPTB13!#REF!)+1)/((FORPTB13!$B$4:$B$580=$B$5)),ROW(FORPTB13!#REF!))),"")</f>
        <v/>
      </c>
      <c r="N37" s="41" t="str">
        <f ca="1">IFERROR(INDEX(FORPTB13!$M$4:$M$580,_xlfn.AGGREGATE(15,6,(ROW(FORPTB13!$B$4:$B$580)-ROW(FORPTB13!#REF!)+1)/((FORPTB13!$B$4:$B$580=$B$5)),ROW(FORPTB13!#REF!))),"")</f>
        <v/>
      </c>
    </row>
    <row r="38" spans="4:14" ht="16.8" x14ac:dyDescent="0.4">
      <c r="D38" s="44" t="str">
        <f t="shared" ca="1" si="2"/>
        <v/>
      </c>
      <c r="E38" s="44" t="str">
        <f ca="1">IFERROR(INDEX(FORPTB13!$F$4:$F$580,_xlfn.AGGREGATE(15,6,(ROW(FORPTB13!$B$4:$B$580)-ROW(FORPTB13!#REF!)+1)/((FORPTB13!$B$4:$B$580=$B$5)),ROW(FORPTB13!#REF!))),"")</f>
        <v/>
      </c>
      <c r="F38" s="44" t="str">
        <f ca="1">IFERROR(INDEX(FORPTB13!$H$4:$H$580,_xlfn.AGGREGATE(15,6,(ROW(FORPTB13!$B$4:$B$580)-ROW(FORPTB13!#REF!)+1)/((FORPTB13!$B$4:$B$580=$B$5)),ROW(FORPTB13!#REF!))),"")</f>
        <v/>
      </c>
      <c r="G38" s="44" t="str">
        <f ca="1">IFERROR(INDEX(FORPTB13!$J$4:$J$580,_xlfn.AGGREGATE(15,6,(ROW(FORPTB13!$B$4:$B$580)-ROW(FORPTB13!#REF!)+1)/((FORPTB13!$B$4:$B$580=$B$5)),ROW(FORPTB13!#REF!))),"")</f>
        <v/>
      </c>
      <c r="H38" s="44" t="str">
        <f ca="1">IFERROR(INDEX(FORPTB13!$K$4:$K$580,_xlfn.AGGREGATE(15,6,(ROW(FORPTB13!$B$4:$B$580)-ROW(FORPTB13!#REF!)+1)/((FORPTB13!$B$4:$B$580=$B$5)),ROW(FORPTB13!#REF!))),"")</f>
        <v/>
      </c>
      <c r="I38" s="44" t="str">
        <f ca="1">IFERROR(INDEX(FORPTB13!$T$4:$T$580,_xlfn.AGGREGATE(15,6,(ROW(FORPTB13!$B$4:$B$580)-ROW(FORPTB13!#REF!)+1)/((FORPTB13!$B$4:$B$580=$B$5)),ROW(FORPTB13!#REF!))),"")</f>
        <v/>
      </c>
      <c r="J38" s="46" t="str">
        <f ca="1">IFERROR(INDEX(FORPTB13!$I$4:$I$580,_xlfn.AGGREGATE(15,6,(ROW(FORPTB13!$B$4:$B$580)-ROW(FORPTB13!#REF!)+1)/((FORPTB13!$B$4:$B$580=$B$5)),ROW(FORPTB13!#REF!))),"")</f>
        <v/>
      </c>
      <c r="K38" s="45" t="str">
        <f ca="1">IFERROR(INDEX(FORPTB13!$N$4:$N$580,_xlfn.AGGREGATE(15,6,(ROW(FORPTB13!$B$4:$B$580)-ROW(FORPTB13!#REF!)+1)/((FORPTB13!$B$4:$B$580=$B$5)),ROW(FORPTB13!#REF!))),"")</f>
        <v/>
      </c>
      <c r="L38" s="45" t="str">
        <f t="shared" ca="1" si="1"/>
        <v xml:space="preserve">  </v>
      </c>
      <c r="M38" s="46" t="str">
        <f ca="1">IFERROR(INDEX(FORPTB13!$L$4:$L$580,_xlfn.AGGREGATE(15,6,(ROW(FORPTB13!$B$4:$B$580)-ROW(FORPTB13!#REF!)+1)/((FORPTB13!$B$4:$B$580=$B$5)),ROW(FORPTB13!#REF!))),"")</f>
        <v/>
      </c>
      <c r="N38" s="44" t="str">
        <f ca="1">IFERROR(INDEX(FORPTB13!$M$4:$M$580,_xlfn.AGGREGATE(15,6,(ROW(FORPTB13!$B$4:$B$580)-ROW(FORPTB13!#REF!)+1)/((FORPTB13!$B$4:$B$580=$B$5)),ROW(FORPTB13!#REF!))),"")</f>
        <v/>
      </c>
    </row>
    <row r="39" spans="4:14" ht="16.8" x14ac:dyDescent="0.4">
      <c r="D39" s="41" t="str">
        <f t="shared" ca="1" si="2"/>
        <v/>
      </c>
      <c r="E39" s="41" t="str">
        <f ca="1">IFERROR(INDEX(FORPTB13!$F$4:$F$580,_xlfn.AGGREGATE(15,6,(ROW(FORPTB13!$B$4:$B$580)-ROW(FORPTB13!#REF!)+1)/((FORPTB13!$B$4:$B$580=$B$5)),ROW(FORPTB13!#REF!))),"")</f>
        <v/>
      </c>
      <c r="F39" s="47" t="str">
        <f ca="1">IFERROR(INDEX(FORPTB13!$H$4:$H$580,_xlfn.AGGREGATE(15,6,(ROW(FORPTB13!$B$4:$B$580)-ROW(FORPTB13!#REF!)+1)/((FORPTB13!$B$4:$B$580=$B$5)),ROW(FORPTB13!#REF!))),"")</f>
        <v/>
      </c>
      <c r="G39" s="41" t="str">
        <f ca="1">IFERROR(INDEX(FORPTB13!$J$4:$J$580,_xlfn.AGGREGATE(15,6,(ROW(FORPTB13!$B$4:$B$580)-ROW(FORPTB13!#REF!)+1)/((FORPTB13!$B$4:$B$580=$B$5)),ROW(FORPTB13!#REF!))),"")</f>
        <v/>
      </c>
      <c r="H39" s="41" t="str">
        <f ca="1">IFERROR(INDEX(FORPTB13!$K$4:$K$580,_xlfn.AGGREGATE(15,6,(ROW(FORPTB13!$B$4:$B$580)-ROW(FORPTB13!#REF!)+1)/((FORPTB13!$B$4:$B$580=$B$5)),ROW(FORPTB13!#REF!))),"")</f>
        <v/>
      </c>
      <c r="I39" s="41" t="str">
        <f ca="1">IFERROR(INDEX(FORPTB13!$T$4:$T$580,_xlfn.AGGREGATE(15,6,(ROW(FORPTB13!$B$4:$B$580)-ROW(FORPTB13!#REF!)+1)/((FORPTB13!$B$4:$B$580=$B$5)),ROW(FORPTB13!#REF!))),"")</f>
        <v/>
      </c>
      <c r="J39" s="43" t="str">
        <f ca="1">IFERROR(INDEX(FORPTB13!$I$4:$I$580,_xlfn.AGGREGATE(15,6,(ROW(FORPTB13!$B$4:$B$580)-ROW(FORPTB13!#REF!)+1)/((FORPTB13!$B$4:$B$580=$B$5)),ROW(FORPTB13!#REF!))),"")</f>
        <v/>
      </c>
      <c r="K39" s="42" t="str">
        <f ca="1">IFERROR(INDEX(FORPTB13!$N$4:$N$580,_xlfn.AGGREGATE(15,6,(ROW(FORPTB13!$B$4:$B$580)-ROW(FORPTB13!#REF!)+1)/((FORPTB13!$B$4:$B$580=$B$5)),ROW(FORPTB13!#REF!))),"")</f>
        <v/>
      </c>
      <c r="L39" s="42" t="str">
        <f t="shared" ca="1" si="1"/>
        <v xml:space="preserve">  </v>
      </c>
      <c r="M39" s="43" t="str">
        <f ca="1">IFERROR(INDEX(FORPTB13!$L$4:$L$580,_xlfn.AGGREGATE(15,6,(ROW(FORPTB13!$B$4:$B$580)-ROW(FORPTB13!#REF!)+1)/((FORPTB13!$B$4:$B$580=$B$5)),ROW(FORPTB13!#REF!))),"")</f>
        <v/>
      </c>
      <c r="N39" s="41" t="str">
        <f ca="1">IFERROR(INDEX(FORPTB13!$M$4:$M$580,_xlfn.AGGREGATE(15,6,(ROW(FORPTB13!$B$4:$B$580)-ROW(FORPTB13!#REF!)+1)/((FORPTB13!$B$4:$B$580=$B$5)),ROW(FORPTB13!#REF!))),"")</f>
        <v/>
      </c>
    </row>
    <row r="40" spans="4:14" ht="16.8" x14ac:dyDescent="0.4">
      <c r="D40" s="44" t="str">
        <f t="shared" ca="1" si="2"/>
        <v/>
      </c>
      <c r="E40" s="44" t="str">
        <f ca="1">IFERROR(INDEX(FORPTB13!$F$4:$F$580,_xlfn.AGGREGATE(15,6,(ROW(FORPTB13!$B$4:$B$580)-ROW(FORPTB13!#REF!)+1)/((FORPTB13!$B$4:$B$580=$B$5)),ROW(FORPTB13!#REF!))),"")</f>
        <v/>
      </c>
      <c r="F40" s="44" t="str">
        <f ca="1">IFERROR(INDEX(FORPTB13!$H$4:$H$580,_xlfn.AGGREGATE(15,6,(ROW(FORPTB13!$B$4:$B$580)-ROW(FORPTB13!#REF!)+1)/((FORPTB13!$B$4:$B$580=$B$5)),ROW(FORPTB13!#REF!))),"")</f>
        <v/>
      </c>
      <c r="G40" s="44" t="str">
        <f ca="1">IFERROR(INDEX(FORPTB13!$J$4:$J$580,_xlfn.AGGREGATE(15,6,(ROW(FORPTB13!$B$4:$B$580)-ROW(FORPTB13!#REF!)+1)/((FORPTB13!$B$4:$B$580=$B$5)),ROW(FORPTB13!#REF!))),"")</f>
        <v/>
      </c>
      <c r="H40" s="44" t="str">
        <f ca="1">IFERROR(INDEX(FORPTB13!$K$4:$K$580,_xlfn.AGGREGATE(15,6,(ROW(FORPTB13!$B$4:$B$580)-ROW(FORPTB13!#REF!)+1)/((FORPTB13!$B$4:$B$580=$B$5)),ROW(FORPTB13!#REF!))),"")</f>
        <v/>
      </c>
      <c r="I40" s="44" t="str">
        <f ca="1">IFERROR(INDEX(FORPTB13!$T$4:$T$580,_xlfn.AGGREGATE(15,6,(ROW(FORPTB13!$B$4:$B$580)-ROW(FORPTB13!#REF!)+1)/((FORPTB13!$B$4:$B$580=$B$5)),ROW(FORPTB13!#REF!))),"")</f>
        <v/>
      </c>
      <c r="J40" s="46" t="str">
        <f ca="1">IFERROR(INDEX(FORPTB13!$I$4:$I$580,_xlfn.AGGREGATE(15,6,(ROW(FORPTB13!$B$4:$B$580)-ROW(FORPTB13!#REF!)+1)/((FORPTB13!$B$4:$B$580=$B$5)),ROW(FORPTB13!#REF!))),"")</f>
        <v/>
      </c>
      <c r="K40" s="45" t="str">
        <f ca="1">IFERROR(INDEX(FORPTB13!$N$4:$N$580,_xlfn.AGGREGATE(15,6,(ROW(FORPTB13!$B$4:$B$580)-ROW(FORPTB13!#REF!)+1)/((FORPTB13!$B$4:$B$580=$B$5)),ROW(FORPTB13!#REF!))),"")</f>
        <v/>
      </c>
      <c r="L40" s="45" t="str">
        <f t="shared" ca="1" si="1"/>
        <v xml:space="preserve">  </v>
      </c>
      <c r="M40" s="46" t="str">
        <f ca="1">IFERROR(INDEX(FORPTB13!$L$4:$L$580,_xlfn.AGGREGATE(15,6,(ROW(FORPTB13!$B$4:$B$580)-ROW(FORPTB13!#REF!)+1)/((FORPTB13!$B$4:$B$580=$B$5)),ROW(FORPTB13!#REF!))),"")</f>
        <v/>
      </c>
      <c r="N40" s="44" t="str">
        <f ca="1">IFERROR(INDEX(FORPTB13!$M$4:$M$580,_xlfn.AGGREGATE(15,6,(ROW(FORPTB13!$B$4:$B$580)-ROW(FORPTB13!#REF!)+1)/((FORPTB13!$B$4:$B$580=$B$5)),ROW(FORPTB13!#REF!))),"")</f>
        <v/>
      </c>
    </row>
    <row r="41" spans="4:14" ht="16.8" x14ac:dyDescent="0.4">
      <c r="D41" s="41" t="str">
        <f t="shared" ca="1" si="2"/>
        <v/>
      </c>
      <c r="E41" s="41" t="str">
        <f ca="1">IFERROR(INDEX(FORPTB13!$F$4:$F$580,_xlfn.AGGREGATE(15,6,(ROW(FORPTB13!$B$4:$B$580)-ROW(FORPTB13!#REF!)+1)/((FORPTB13!$B$4:$B$580=$B$5)),ROW(FORPTB13!#REF!))),"")</f>
        <v/>
      </c>
      <c r="F41" s="47" t="str">
        <f ca="1">IFERROR(INDEX(FORPTB13!$H$4:$H$580,_xlfn.AGGREGATE(15,6,(ROW(FORPTB13!$B$4:$B$580)-ROW(FORPTB13!#REF!)+1)/((FORPTB13!$B$4:$B$580=$B$5)),ROW(FORPTB13!#REF!))),"")</f>
        <v/>
      </c>
      <c r="G41" s="41" t="str">
        <f ca="1">IFERROR(INDEX(FORPTB13!$J$4:$J$580,_xlfn.AGGREGATE(15,6,(ROW(FORPTB13!$B$4:$B$580)-ROW(FORPTB13!#REF!)+1)/((FORPTB13!$B$4:$B$580=$B$5)),ROW(FORPTB13!#REF!))),"")</f>
        <v/>
      </c>
      <c r="H41" s="41" t="str">
        <f ca="1">IFERROR(INDEX(FORPTB13!$K$4:$K$580,_xlfn.AGGREGATE(15,6,(ROW(FORPTB13!$B$4:$B$580)-ROW(FORPTB13!#REF!)+1)/((FORPTB13!$B$4:$B$580=$B$5)),ROW(FORPTB13!#REF!))),"")</f>
        <v/>
      </c>
      <c r="I41" s="41" t="str">
        <f ca="1">IFERROR(INDEX(FORPTB13!$T$4:$T$580,_xlfn.AGGREGATE(15,6,(ROW(FORPTB13!$B$4:$B$580)-ROW(FORPTB13!#REF!)+1)/((FORPTB13!$B$4:$B$580=$B$5)),ROW(FORPTB13!#REF!))),"")</f>
        <v/>
      </c>
      <c r="J41" s="43" t="str">
        <f ca="1">IFERROR(INDEX(FORPTB13!$I$4:$I$580,_xlfn.AGGREGATE(15,6,(ROW(FORPTB13!$B$4:$B$580)-ROW(FORPTB13!#REF!)+1)/((FORPTB13!$B$4:$B$580=$B$5)),ROW(FORPTB13!#REF!))),"")</f>
        <v/>
      </c>
      <c r="K41" s="42" t="str">
        <f ca="1">IFERROR(INDEX(FORPTB13!$N$4:$N$580,_xlfn.AGGREGATE(15,6,(ROW(FORPTB13!$B$4:$B$580)-ROW(FORPTB13!#REF!)+1)/((FORPTB13!$B$4:$B$580=$B$5)),ROW(FORPTB13!#REF!))),"")</f>
        <v/>
      </c>
      <c r="L41" s="42" t="str">
        <f t="shared" ca="1" si="1"/>
        <v xml:space="preserve">  </v>
      </c>
      <c r="M41" s="43" t="str">
        <f ca="1">IFERROR(INDEX(FORPTB13!$L$4:$L$580,_xlfn.AGGREGATE(15,6,(ROW(FORPTB13!$B$4:$B$580)-ROW(FORPTB13!#REF!)+1)/((FORPTB13!$B$4:$B$580=$B$5)),ROW(FORPTB13!#REF!))),"")</f>
        <v/>
      </c>
      <c r="N41" s="41" t="str">
        <f ca="1">IFERROR(INDEX(FORPTB13!$M$4:$M$580,_xlfn.AGGREGATE(15,6,(ROW(FORPTB13!$B$4:$B$580)-ROW(FORPTB13!#REF!)+1)/((FORPTB13!$B$4:$B$580=$B$5)),ROW(FORPTB13!#REF!))),"")</f>
        <v/>
      </c>
    </row>
    <row r="42" spans="4:14" ht="16.8" x14ac:dyDescent="0.4">
      <c r="D42" s="44" t="str">
        <f t="shared" ca="1" si="2"/>
        <v/>
      </c>
      <c r="E42" s="44" t="str">
        <f ca="1">IFERROR(INDEX(FORPTB13!$F$4:$F$580,_xlfn.AGGREGATE(15,6,(ROW(FORPTB13!$B$4:$B$580)-ROW(FORPTB13!#REF!)+1)/((FORPTB13!$B$4:$B$580=$B$5)),ROW(FORPTB13!#REF!))),"")</f>
        <v/>
      </c>
      <c r="F42" s="44" t="str">
        <f ca="1">IFERROR(INDEX(FORPTB13!$H$4:$H$580,_xlfn.AGGREGATE(15,6,(ROW(FORPTB13!$B$4:$B$580)-ROW(FORPTB13!#REF!)+1)/((FORPTB13!$B$4:$B$580=$B$5)),ROW(FORPTB13!#REF!))),"")</f>
        <v/>
      </c>
      <c r="G42" s="44" t="str">
        <f ca="1">IFERROR(INDEX(FORPTB13!$J$4:$J$580,_xlfn.AGGREGATE(15,6,(ROW(FORPTB13!$B$4:$B$580)-ROW(FORPTB13!#REF!)+1)/((FORPTB13!$B$4:$B$580=$B$5)),ROW(FORPTB13!#REF!))),"")</f>
        <v/>
      </c>
      <c r="H42" s="44" t="str">
        <f ca="1">IFERROR(INDEX(FORPTB13!$K$4:$K$580,_xlfn.AGGREGATE(15,6,(ROW(FORPTB13!$B$4:$B$580)-ROW(FORPTB13!#REF!)+1)/((FORPTB13!$B$4:$B$580=$B$5)),ROW(FORPTB13!#REF!))),"")</f>
        <v/>
      </c>
      <c r="I42" s="44" t="str">
        <f ca="1">IFERROR(INDEX(FORPTB13!$T$4:$T$580,_xlfn.AGGREGATE(15,6,(ROW(FORPTB13!$B$4:$B$580)-ROW(FORPTB13!#REF!)+1)/((FORPTB13!$B$4:$B$580=$B$5)),ROW(FORPTB13!#REF!))),"")</f>
        <v/>
      </c>
      <c r="J42" s="46" t="str">
        <f ca="1">IFERROR(INDEX(FORPTB13!$I$4:$I$580,_xlfn.AGGREGATE(15,6,(ROW(FORPTB13!$B$4:$B$580)-ROW(FORPTB13!#REF!)+1)/((FORPTB13!$B$4:$B$580=$B$5)),ROW(FORPTB13!#REF!))),"")</f>
        <v/>
      </c>
      <c r="K42" s="45" t="str">
        <f ca="1">IFERROR(INDEX(FORPTB13!$N$4:$N$580,_xlfn.AGGREGATE(15,6,(ROW(FORPTB13!$B$4:$B$580)-ROW(FORPTB13!#REF!)+1)/((FORPTB13!$B$4:$B$580=$B$5)),ROW(FORPTB13!#REF!))),"")</f>
        <v/>
      </c>
      <c r="L42" s="45" t="str">
        <f t="shared" ca="1" si="1"/>
        <v xml:space="preserve">  </v>
      </c>
      <c r="M42" s="46" t="str">
        <f ca="1">IFERROR(INDEX(FORPTB13!$L$4:$L$580,_xlfn.AGGREGATE(15,6,(ROW(FORPTB13!$B$4:$B$580)-ROW(FORPTB13!#REF!)+1)/((FORPTB13!$B$4:$B$580=$B$5)),ROW(FORPTB13!#REF!))),"")</f>
        <v/>
      </c>
      <c r="N42" s="44" t="str">
        <f ca="1">IFERROR(INDEX(FORPTB13!$M$4:$M$580,_xlfn.AGGREGATE(15,6,(ROW(FORPTB13!$B$4:$B$580)-ROW(FORPTB13!#REF!)+1)/((FORPTB13!$B$4:$B$580=$B$5)),ROW(FORPTB13!#REF!))),"")</f>
        <v/>
      </c>
    </row>
    <row r="43" spans="4:14" ht="16.8" x14ac:dyDescent="0.4">
      <c r="D43" s="41" t="str">
        <f t="shared" ca="1" si="2"/>
        <v/>
      </c>
      <c r="E43" s="41" t="str">
        <f ca="1">IFERROR(INDEX(FORPTB13!$F$4:$F$580,_xlfn.AGGREGATE(15,6,(ROW(FORPTB13!$B$4:$B$580)-ROW(FORPTB13!#REF!)+1)/((FORPTB13!$B$4:$B$580=$B$5)),ROW(FORPTB13!#REF!))),"")</f>
        <v/>
      </c>
      <c r="F43" s="47" t="str">
        <f ca="1">IFERROR(INDEX(FORPTB13!$H$4:$H$580,_xlfn.AGGREGATE(15,6,(ROW(FORPTB13!$B$4:$B$580)-ROW(FORPTB13!#REF!)+1)/((FORPTB13!$B$4:$B$580=$B$5)),ROW(FORPTB13!#REF!))),"")</f>
        <v/>
      </c>
      <c r="G43" s="41" t="str">
        <f ca="1">IFERROR(INDEX(FORPTB13!$J$4:$J$580,_xlfn.AGGREGATE(15,6,(ROW(FORPTB13!$B$4:$B$580)-ROW(FORPTB13!#REF!)+1)/((FORPTB13!$B$4:$B$580=$B$5)),ROW(FORPTB13!#REF!))),"")</f>
        <v/>
      </c>
      <c r="H43" s="41" t="str">
        <f ca="1">IFERROR(INDEX(FORPTB13!$K$4:$K$580,_xlfn.AGGREGATE(15,6,(ROW(FORPTB13!$B$4:$B$580)-ROW(FORPTB13!#REF!)+1)/((FORPTB13!$B$4:$B$580=$B$5)),ROW(FORPTB13!#REF!))),"")</f>
        <v/>
      </c>
      <c r="I43" s="41" t="str">
        <f ca="1">IFERROR(INDEX(FORPTB13!$T$4:$T$580,_xlfn.AGGREGATE(15,6,(ROW(FORPTB13!$B$4:$B$580)-ROW(FORPTB13!#REF!)+1)/((FORPTB13!$B$4:$B$580=$B$5)),ROW(FORPTB13!#REF!))),"")</f>
        <v/>
      </c>
      <c r="J43" s="43" t="str">
        <f ca="1">IFERROR(INDEX(FORPTB13!$I$4:$I$580,_xlfn.AGGREGATE(15,6,(ROW(FORPTB13!$B$4:$B$580)-ROW(FORPTB13!#REF!)+1)/((FORPTB13!$B$4:$B$580=$B$5)),ROW(FORPTB13!#REF!))),"")</f>
        <v/>
      </c>
      <c r="K43" s="42" t="str">
        <f ca="1">IFERROR(INDEX(FORPTB13!$N$4:$N$580,_xlfn.AGGREGATE(15,6,(ROW(FORPTB13!$B$4:$B$580)-ROW(FORPTB13!#REF!)+1)/((FORPTB13!$B$4:$B$580=$B$5)),ROW(FORPTB13!#REF!))),"")</f>
        <v/>
      </c>
      <c r="L43" s="42" t="str">
        <f t="shared" ca="1" si="1"/>
        <v xml:space="preserve">  </v>
      </c>
      <c r="M43" s="43" t="str">
        <f ca="1">IFERROR(INDEX(FORPTB13!$L$4:$L$580,_xlfn.AGGREGATE(15,6,(ROW(FORPTB13!$B$4:$B$580)-ROW(FORPTB13!#REF!)+1)/((FORPTB13!$B$4:$B$580=$B$5)),ROW(FORPTB13!#REF!))),"")</f>
        <v/>
      </c>
      <c r="N43" s="41" t="str">
        <f ca="1">IFERROR(INDEX(FORPTB13!$M$4:$M$580,_xlfn.AGGREGATE(15,6,(ROW(FORPTB13!$B$4:$B$580)-ROW(FORPTB13!#REF!)+1)/((FORPTB13!$B$4:$B$580=$B$5)),ROW(FORPTB13!#REF!))),"")</f>
        <v/>
      </c>
    </row>
    <row r="44" spans="4:14" ht="16.8" x14ac:dyDescent="0.4">
      <c r="D44" s="44" t="str">
        <f t="shared" ca="1" si="2"/>
        <v/>
      </c>
      <c r="E44" s="44" t="str">
        <f ca="1">IFERROR(INDEX(FORPTB13!$F$4:$F$580,_xlfn.AGGREGATE(15,6,(ROW(FORPTB13!$B$4:$B$580)-ROW(FORPTB13!#REF!)+1)/((FORPTB13!$B$4:$B$580=$B$5)),ROW(FORPTB13!#REF!))),"")</f>
        <v/>
      </c>
      <c r="F44" s="44" t="str">
        <f ca="1">IFERROR(INDEX(FORPTB13!$H$4:$H$580,_xlfn.AGGREGATE(15,6,(ROW(FORPTB13!$B$4:$B$580)-ROW(FORPTB13!#REF!)+1)/((FORPTB13!$B$4:$B$580=$B$5)),ROW(FORPTB13!#REF!))),"")</f>
        <v/>
      </c>
      <c r="G44" s="44" t="str">
        <f ca="1">IFERROR(INDEX(FORPTB13!$J$4:$J$580,_xlfn.AGGREGATE(15,6,(ROW(FORPTB13!$B$4:$B$580)-ROW(FORPTB13!#REF!)+1)/((FORPTB13!$B$4:$B$580=$B$5)),ROW(FORPTB13!#REF!))),"")</f>
        <v/>
      </c>
      <c r="H44" s="44" t="str">
        <f ca="1">IFERROR(INDEX(FORPTB13!$K$4:$K$580,_xlfn.AGGREGATE(15,6,(ROW(FORPTB13!$B$4:$B$580)-ROW(FORPTB13!#REF!)+1)/((FORPTB13!$B$4:$B$580=$B$5)),ROW(FORPTB13!#REF!))),"")</f>
        <v/>
      </c>
      <c r="I44" s="44" t="str">
        <f ca="1">IFERROR(INDEX(FORPTB13!$T$4:$T$580,_xlfn.AGGREGATE(15,6,(ROW(FORPTB13!$B$4:$B$580)-ROW(FORPTB13!#REF!)+1)/((FORPTB13!$B$4:$B$580=$B$5)),ROW(FORPTB13!#REF!))),"")</f>
        <v/>
      </c>
      <c r="J44" s="46" t="str">
        <f ca="1">IFERROR(INDEX(FORPTB13!$I$4:$I$580,_xlfn.AGGREGATE(15,6,(ROW(FORPTB13!$B$4:$B$580)-ROW(FORPTB13!#REF!)+1)/((FORPTB13!$B$4:$B$580=$B$5)),ROW(FORPTB13!#REF!))),"")</f>
        <v/>
      </c>
      <c r="K44" s="45" t="str">
        <f ca="1">IFERROR(INDEX(FORPTB13!$N$4:$N$580,_xlfn.AGGREGATE(15,6,(ROW(FORPTB13!$B$4:$B$580)-ROW(FORPTB13!#REF!)+1)/((FORPTB13!$B$4:$B$580=$B$5)),ROW(FORPTB13!#REF!))),"")</f>
        <v/>
      </c>
      <c r="L44" s="45" t="str">
        <f t="shared" ca="1" si="1"/>
        <v xml:space="preserve">  </v>
      </c>
      <c r="M44" s="46" t="str">
        <f ca="1">IFERROR(INDEX(FORPTB13!$L$4:$L$580,_xlfn.AGGREGATE(15,6,(ROW(FORPTB13!$B$4:$B$580)-ROW(FORPTB13!#REF!)+1)/((FORPTB13!$B$4:$B$580=$B$5)),ROW(FORPTB13!#REF!))),"")</f>
        <v/>
      </c>
      <c r="N44" s="44" t="str">
        <f ca="1">IFERROR(INDEX(FORPTB13!$M$4:$M$580,_xlfn.AGGREGATE(15,6,(ROW(FORPTB13!$B$4:$B$580)-ROW(FORPTB13!#REF!)+1)/((FORPTB13!$B$4:$B$580=$B$5)),ROW(FORPTB13!#REF!))),"")</f>
        <v/>
      </c>
    </row>
    <row r="45" spans="4:14" ht="16.8" x14ac:dyDescent="0.4">
      <c r="D45" s="41" t="str">
        <f t="shared" ca="1" si="2"/>
        <v/>
      </c>
      <c r="E45" s="41" t="str">
        <f ca="1">IFERROR(INDEX(FORPTB13!$F$4:$F$580,_xlfn.AGGREGATE(15,6,(ROW(FORPTB13!$B$4:$B$580)-ROW(FORPTB13!#REF!)+1)/((FORPTB13!$B$4:$B$580=$B$5)),ROW(FORPTB13!#REF!))),"")</f>
        <v/>
      </c>
      <c r="F45" s="47" t="str">
        <f ca="1">IFERROR(INDEX(FORPTB13!$H$4:$H$580,_xlfn.AGGREGATE(15,6,(ROW(FORPTB13!$B$4:$B$580)-ROW(FORPTB13!#REF!)+1)/((FORPTB13!$B$4:$B$580=$B$5)),ROW(FORPTB13!#REF!))),"")</f>
        <v/>
      </c>
      <c r="G45" s="41" t="str">
        <f ca="1">IFERROR(INDEX(FORPTB13!$J$4:$J$580,_xlfn.AGGREGATE(15,6,(ROW(FORPTB13!$B$4:$B$580)-ROW(FORPTB13!#REF!)+1)/((FORPTB13!$B$4:$B$580=$B$5)),ROW(FORPTB13!#REF!))),"")</f>
        <v/>
      </c>
      <c r="H45" s="41" t="str">
        <f ca="1">IFERROR(INDEX(FORPTB13!$K$4:$K$580,_xlfn.AGGREGATE(15,6,(ROW(FORPTB13!$B$4:$B$580)-ROW(FORPTB13!#REF!)+1)/((FORPTB13!$B$4:$B$580=$B$5)),ROW(FORPTB13!#REF!))),"")</f>
        <v/>
      </c>
      <c r="I45" s="41" t="str">
        <f ca="1">IFERROR(INDEX(FORPTB13!$T$4:$T$580,_xlfn.AGGREGATE(15,6,(ROW(FORPTB13!$B$4:$B$580)-ROW(FORPTB13!#REF!)+1)/((FORPTB13!$B$4:$B$580=$B$5)),ROW(FORPTB13!#REF!))),"")</f>
        <v/>
      </c>
      <c r="J45" s="43" t="str">
        <f ca="1">IFERROR(INDEX(FORPTB13!$I$4:$I$580,_xlfn.AGGREGATE(15,6,(ROW(FORPTB13!$B$4:$B$580)-ROW(FORPTB13!#REF!)+1)/((FORPTB13!$B$4:$B$580=$B$5)),ROW(FORPTB13!#REF!))),"")</f>
        <v/>
      </c>
      <c r="K45" s="42" t="str">
        <f ca="1">IFERROR(INDEX(FORPTB13!$N$4:$N$580,_xlfn.AGGREGATE(15,6,(ROW(FORPTB13!$B$4:$B$580)-ROW(FORPTB13!#REF!)+1)/((FORPTB13!$B$4:$B$580=$B$5)),ROW(FORPTB13!#REF!))),"")</f>
        <v/>
      </c>
      <c r="L45" s="42" t="str">
        <f t="shared" ca="1" si="1"/>
        <v xml:space="preserve">  </v>
      </c>
      <c r="M45" s="43" t="str">
        <f ca="1">IFERROR(INDEX(FORPTB13!$L$4:$L$580,_xlfn.AGGREGATE(15,6,(ROW(FORPTB13!$B$4:$B$580)-ROW(FORPTB13!#REF!)+1)/((FORPTB13!$B$4:$B$580=$B$5)),ROW(FORPTB13!#REF!))),"")</f>
        <v/>
      </c>
      <c r="N45" s="41" t="str">
        <f ca="1">IFERROR(INDEX(FORPTB13!$M$4:$M$580,_xlfn.AGGREGATE(15,6,(ROW(FORPTB13!$B$4:$B$580)-ROW(FORPTB13!#REF!)+1)/((FORPTB13!$B$4:$B$580=$B$5)),ROW(FORPTB13!#REF!))),"")</f>
        <v/>
      </c>
    </row>
    <row r="46" spans="4:14" ht="16.8" x14ac:dyDescent="0.4">
      <c r="D46" s="44" t="str">
        <f t="shared" ca="1" si="2"/>
        <v/>
      </c>
      <c r="E46" s="44" t="str">
        <f ca="1">IFERROR(INDEX(FORPTB13!$F$4:$F$580,_xlfn.AGGREGATE(15,6,(ROW(FORPTB13!$B$4:$B$580)-ROW(FORPTB13!#REF!)+1)/((FORPTB13!$B$4:$B$580=$B$5)),ROW(FORPTB13!#REF!))),"")</f>
        <v/>
      </c>
      <c r="F46" s="44" t="str">
        <f ca="1">IFERROR(INDEX(FORPTB13!$H$4:$H$580,_xlfn.AGGREGATE(15,6,(ROW(FORPTB13!$B$4:$B$580)-ROW(FORPTB13!#REF!)+1)/((FORPTB13!$B$4:$B$580=$B$5)),ROW(FORPTB13!#REF!))),"")</f>
        <v/>
      </c>
      <c r="G46" s="44" t="str">
        <f ca="1">IFERROR(INDEX(FORPTB13!$J$4:$J$580,_xlfn.AGGREGATE(15,6,(ROW(FORPTB13!$B$4:$B$580)-ROW(FORPTB13!#REF!)+1)/((FORPTB13!$B$4:$B$580=$B$5)),ROW(FORPTB13!#REF!))),"")</f>
        <v/>
      </c>
      <c r="H46" s="44" t="str">
        <f ca="1">IFERROR(INDEX(FORPTB13!$K$4:$K$580,_xlfn.AGGREGATE(15,6,(ROW(FORPTB13!$B$4:$B$580)-ROW(FORPTB13!#REF!)+1)/((FORPTB13!$B$4:$B$580=$B$5)),ROW(FORPTB13!#REF!))),"")</f>
        <v/>
      </c>
      <c r="I46" s="44" t="str">
        <f ca="1">IFERROR(INDEX(FORPTB13!$T$4:$T$580,_xlfn.AGGREGATE(15,6,(ROW(FORPTB13!$B$4:$B$580)-ROW(FORPTB13!#REF!)+1)/((FORPTB13!$B$4:$B$580=$B$5)),ROW(FORPTB13!#REF!))),"")</f>
        <v/>
      </c>
      <c r="J46" s="46" t="str">
        <f ca="1">IFERROR(INDEX(FORPTB13!$I$4:$I$580,_xlfn.AGGREGATE(15,6,(ROW(FORPTB13!$B$4:$B$580)-ROW(FORPTB13!#REF!)+1)/((FORPTB13!$B$4:$B$580=$B$5)),ROW(FORPTB13!#REF!))),"")</f>
        <v/>
      </c>
      <c r="K46" s="45" t="str">
        <f ca="1">IFERROR(INDEX(FORPTB13!$N$4:$N$580,_xlfn.AGGREGATE(15,6,(ROW(FORPTB13!$B$4:$B$580)-ROW(FORPTB13!#REF!)+1)/((FORPTB13!$B$4:$B$580=$B$5)),ROW(FORPTB13!#REF!))),"")</f>
        <v/>
      </c>
      <c r="L46" s="45" t="str">
        <f t="shared" ca="1" si="1"/>
        <v xml:space="preserve">  </v>
      </c>
      <c r="M46" s="46" t="str">
        <f ca="1">IFERROR(INDEX(FORPTB13!$L$4:$L$580,_xlfn.AGGREGATE(15,6,(ROW(FORPTB13!$B$4:$B$580)-ROW(FORPTB13!#REF!)+1)/((FORPTB13!$B$4:$B$580=$B$5)),ROW(FORPTB13!#REF!))),"")</f>
        <v/>
      </c>
      <c r="N46" s="44" t="str">
        <f ca="1">IFERROR(INDEX(FORPTB13!$M$4:$M$580,_xlfn.AGGREGATE(15,6,(ROW(FORPTB13!$B$4:$B$580)-ROW(FORPTB13!#REF!)+1)/((FORPTB13!$B$4:$B$580=$B$5)),ROW(FORPTB13!#REF!))),"")</f>
        <v/>
      </c>
    </row>
    <row r="47" spans="4:14" ht="16.8" x14ac:dyDescent="0.4">
      <c r="D47" s="41" t="str">
        <f t="shared" ca="1" si="2"/>
        <v/>
      </c>
      <c r="E47" s="41" t="str">
        <f ca="1">IFERROR(INDEX(FORPTB13!$F$4:$F$580,_xlfn.AGGREGATE(15,6,(ROW(FORPTB13!$B$4:$B$580)-ROW(FORPTB13!#REF!)+1)/((FORPTB13!$B$4:$B$580=$B$5)),ROW(FORPTB13!#REF!))),"")</f>
        <v/>
      </c>
      <c r="F47" s="47" t="str">
        <f ca="1">IFERROR(INDEX(FORPTB13!$H$4:$H$580,_xlfn.AGGREGATE(15,6,(ROW(FORPTB13!$B$4:$B$580)-ROW(FORPTB13!#REF!)+1)/((FORPTB13!$B$4:$B$580=$B$5)),ROW(FORPTB13!#REF!))),"")</f>
        <v/>
      </c>
      <c r="G47" s="41" t="str">
        <f ca="1">IFERROR(INDEX(FORPTB13!$J$4:$J$580,_xlfn.AGGREGATE(15,6,(ROW(FORPTB13!$B$4:$B$580)-ROW(FORPTB13!#REF!)+1)/((FORPTB13!$B$4:$B$580=$B$5)),ROW(FORPTB13!#REF!))),"")</f>
        <v/>
      </c>
      <c r="H47" s="41" t="str">
        <f ca="1">IFERROR(INDEX(FORPTB13!$K$4:$K$580,_xlfn.AGGREGATE(15,6,(ROW(FORPTB13!$B$4:$B$580)-ROW(FORPTB13!#REF!)+1)/((FORPTB13!$B$4:$B$580=$B$5)),ROW(FORPTB13!#REF!))),"")</f>
        <v/>
      </c>
      <c r="I47" s="41" t="str">
        <f ca="1">IFERROR(INDEX(FORPTB13!$T$4:$T$580,_xlfn.AGGREGATE(15,6,(ROW(FORPTB13!$B$4:$B$580)-ROW(FORPTB13!#REF!)+1)/((FORPTB13!$B$4:$B$580=$B$5)),ROW(FORPTB13!#REF!))),"")</f>
        <v/>
      </c>
      <c r="J47" s="43" t="str">
        <f ca="1">IFERROR(INDEX(FORPTB13!$I$4:$I$580,_xlfn.AGGREGATE(15,6,(ROW(FORPTB13!$B$4:$B$580)-ROW(FORPTB13!#REF!)+1)/((FORPTB13!$B$4:$B$580=$B$5)),ROW(FORPTB13!#REF!))),"")</f>
        <v/>
      </c>
      <c r="K47" s="42" t="str">
        <f ca="1">IFERROR(INDEX(FORPTB13!$N$4:$N$580,_xlfn.AGGREGATE(15,6,(ROW(FORPTB13!$B$4:$B$580)-ROW(FORPTB13!#REF!)+1)/((FORPTB13!$B$4:$B$580=$B$5)),ROW(FORPTB13!#REF!))),"")</f>
        <v/>
      </c>
      <c r="L47" s="42" t="str">
        <f t="shared" ca="1" si="1"/>
        <v xml:space="preserve">  </v>
      </c>
      <c r="M47" s="43" t="str">
        <f ca="1">IFERROR(INDEX(FORPTB13!$L$4:$L$580,_xlfn.AGGREGATE(15,6,(ROW(FORPTB13!$B$4:$B$580)-ROW(FORPTB13!#REF!)+1)/((FORPTB13!$B$4:$B$580=$B$5)),ROW(FORPTB13!#REF!))),"")</f>
        <v/>
      </c>
      <c r="N47" s="41" t="str">
        <f ca="1">IFERROR(INDEX(FORPTB13!$M$4:$M$580,_xlfn.AGGREGATE(15,6,(ROW(FORPTB13!$B$4:$B$580)-ROW(FORPTB13!#REF!)+1)/((FORPTB13!$B$4:$B$580=$B$5)),ROW(FORPTB13!#REF!))),"")</f>
        <v/>
      </c>
    </row>
    <row r="48" spans="4:14" ht="16.8" x14ac:dyDescent="0.4">
      <c r="D48" s="44" t="str">
        <f t="shared" ca="1" si="2"/>
        <v/>
      </c>
      <c r="E48" s="44" t="str">
        <f ca="1">IFERROR(INDEX(FORPTB13!$F$4:$F$580,_xlfn.AGGREGATE(15,6,(ROW(FORPTB13!$B$4:$B$580)-ROW(FORPTB13!#REF!)+1)/((FORPTB13!$B$4:$B$580=$B$5)),ROW(FORPTB13!#REF!))),"")</f>
        <v/>
      </c>
      <c r="F48" s="44" t="str">
        <f ca="1">IFERROR(INDEX(FORPTB13!$H$4:$H$580,_xlfn.AGGREGATE(15,6,(ROW(FORPTB13!$B$4:$B$580)-ROW(FORPTB13!#REF!)+1)/((FORPTB13!$B$4:$B$580=$B$5)),ROW(FORPTB13!#REF!))),"")</f>
        <v/>
      </c>
      <c r="G48" s="44" t="str">
        <f ca="1">IFERROR(INDEX(FORPTB13!$J$4:$J$580,_xlfn.AGGREGATE(15,6,(ROW(FORPTB13!$B$4:$B$580)-ROW(FORPTB13!#REF!)+1)/((FORPTB13!$B$4:$B$580=$B$5)),ROW(FORPTB13!#REF!))),"")</f>
        <v/>
      </c>
      <c r="H48" s="44" t="str">
        <f ca="1">IFERROR(INDEX(FORPTB13!$K$4:$K$580,_xlfn.AGGREGATE(15,6,(ROW(FORPTB13!$B$4:$B$580)-ROW(FORPTB13!#REF!)+1)/((FORPTB13!$B$4:$B$580=$B$5)),ROW(FORPTB13!#REF!))),"")</f>
        <v/>
      </c>
      <c r="I48" s="44" t="str">
        <f ca="1">IFERROR(INDEX(FORPTB13!$T$4:$T$580,_xlfn.AGGREGATE(15,6,(ROW(FORPTB13!$B$4:$B$580)-ROW(FORPTB13!#REF!)+1)/((FORPTB13!$B$4:$B$580=$B$5)),ROW(FORPTB13!#REF!))),"")</f>
        <v/>
      </c>
      <c r="J48" s="46" t="str">
        <f ca="1">IFERROR(INDEX(FORPTB13!$I$4:$I$580,_xlfn.AGGREGATE(15,6,(ROW(FORPTB13!$B$4:$B$580)-ROW(FORPTB13!#REF!)+1)/((FORPTB13!$B$4:$B$580=$B$5)),ROW(FORPTB13!#REF!))),"")</f>
        <v/>
      </c>
      <c r="K48" s="45" t="str">
        <f ca="1">IFERROR(INDEX(FORPTB13!$N$4:$N$580,_xlfn.AGGREGATE(15,6,(ROW(FORPTB13!$B$4:$B$580)-ROW(FORPTB13!#REF!)+1)/((FORPTB13!$B$4:$B$580=$B$5)),ROW(FORPTB13!#REF!))),"")</f>
        <v/>
      </c>
      <c r="L48" s="45" t="str">
        <f t="shared" ca="1" si="1"/>
        <v xml:space="preserve">  </v>
      </c>
      <c r="M48" s="46" t="str">
        <f ca="1">IFERROR(INDEX(FORPTB13!$L$4:$L$580,_xlfn.AGGREGATE(15,6,(ROW(FORPTB13!$B$4:$B$580)-ROW(FORPTB13!#REF!)+1)/((FORPTB13!$B$4:$B$580=$B$5)),ROW(FORPTB13!#REF!))),"")</f>
        <v/>
      </c>
      <c r="N48" s="44" t="str">
        <f ca="1">IFERROR(INDEX(FORPTB13!$M$4:$M$580,_xlfn.AGGREGATE(15,6,(ROW(FORPTB13!$B$4:$B$580)-ROW(FORPTB13!#REF!)+1)/((FORPTB13!$B$4:$B$580=$B$5)),ROW(FORPTB13!#REF!))),"")</f>
        <v/>
      </c>
    </row>
    <row r="49" spans="4:14" ht="16.8" x14ac:dyDescent="0.4">
      <c r="D49" s="41" t="str">
        <f t="shared" ca="1" si="2"/>
        <v/>
      </c>
      <c r="E49" s="41" t="str">
        <f ca="1">IFERROR(INDEX(FORPTB13!$F$4:$F$580,_xlfn.AGGREGATE(15,6,(ROW(FORPTB13!$B$4:$B$580)-ROW(FORPTB13!#REF!)+1)/((FORPTB13!$B$4:$B$580=$B$5)),ROW(FORPTB13!#REF!))),"")</f>
        <v/>
      </c>
      <c r="F49" s="47" t="str">
        <f ca="1">IFERROR(INDEX(FORPTB13!$H$4:$H$580,_xlfn.AGGREGATE(15,6,(ROW(FORPTB13!$B$4:$B$580)-ROW(FORPTB13!#REF!)+1)/((FORPTB13!$B$4:$B$580=$B$5)),ROW(FORPTB13!#REF!))),"")</f>
        <v/>
      </c>
      <c r="G49" s="41" t="str">
        <f ca="1">IFERROR(INDEX(FORPTB13!$J$4:$J$580,_xlfn.AGGREGATE(15,6,(ROW(FORPTB13!$B$4:$B$580)-ROW(FORPTB13!#REF!)+1)/((FORPTB13!$B$4:$B$580=$B$5)),ROW(FORPTB13!#REF!))),"")</f>
        <v/>
      </c>
      <c r="H49" s="41" t="str">
        <f ca="1">IFERROR(INDEX(FORPTB13!$K$4:$K$580,_xlfn.AGGREGATE(15,6,(ROW(FORPTB13!$B$4:$B$580)-ROW(FORPTB13!#REF!)+1)/((FORPTB13!$B$4:$B$580=$B$5)),ROW(FORPTB13!#REF!))),"")</f>
        <v/>
      </c>
      <c r="I49" s="41" t="str">
        <f ca="1">IFERROR(INDEX(FORPTB13!$T$4:$T$580,_xlfn.AGGREGATE(15,6,(ROW(FORPTB13!$B$4:$B$580)-ROW(FORPTB13!#REF!)+1)/((FORPTB13!$B$4:$B$580=$B$5)),ROW(FORPTB13!#REF!))),"")</f>
        <v/>
      </c>
      <c r="J49" s="43" t="str">
        <f ca="1">IFERROR(INDEX(FORPTB13!$I$4:$I$580,_xlfn.AGGREGATE(15,6,(ROW(FORPTB13!$B$4:$B$580)-ROW(FORPTB13!#REF!)+1)/((FORPTB13!$B$4:$B$580=$B$5)),ROW(FORPTB13!#REF!))),"")</f>
        <v/>
      </c>
      <c r="K49" s="42" t="str">
        <f ca="1">IFERROR(INDEX(FORPTB13!$N$4:$N$580,_xlfn.AGGREGATE(15,6,(ROW(FORPTB13!$B$4:$B$580)-ROW(FORPTB13!#REF!)+1)/((FORPTB13!$B$4:$B$580=$B$5)),ROW(FORPTB13!#REF!))),"")</f>
        <v/>
      </c>
      <c r="L49" s="42" t="str">
        <f t="shared" ca="1" si="1"/>
        <v xml:space="preserve">  </v>
      </c>
      <c r="M49" s="43" t="str">
        <f ca="1">IFERROR(INDEX(FORPTB13!$L$4:$L$580,_xlfn.AGGREGATE(15,6,(ROW(FORPTB13!$B$4:$B$580)-ROW(FORPTB13!#REF!)+1)/((FORPTB13!$B$4:$B$580=$B$5)),ROW(FORPTB13!#REF!))),"")</f>
        <v/>
      </c>
      <c r="N49" s="41" t="str">
        <f ca="1">IFERROR(INDEX(FORPTB13!$M$4:$M$580,_xlfn.AGGREGATE(15,6,(ROW(FORPTB13!$B$4:$B$580)-ROW(FORPTB13!#REF!)+1)/((FORPTB13!$B$4:$B$580=$B$5)),ROW(FORPTB13!#REF!))),"")</f>
        <v/>
      </c>
    </row>
    <row r="50" spans="4:14" ht="16.8" x14ac:dyDescent="0.4">
      <c r="D50" s="44" t="str">
        <f t="shared" ca="1" si="2"/>
        <v/>
      </c>
      <c r="E50" s="44" t="str">
        <f ca="1">IFERROR(INDEX(FORPTB13!$F$4:$F$580,_xlfn.AGGREGATE(15,6,(ROW(FORPTB13!$B$4:$B$580)-ROW(FORPTB13!#REF!)+1)/((FORPTB13!$B$4:$B$580=$B$5)),ROW(FORPTB13!#REF!))),"")</f>
        <v/>
      </c>
      <c r="F50" s="44" t="str">
        <f ca="1">IFERROR(INDEX(FORPTB13!$H$4:$H$580,_xlfn.AGGREGATE(15,6,(ROW(FORPTB13!$B$4:$B$580)-ROW(FORPTB13!#REF!)+1)/((FORPTB13!$B$4:$B$580=$B$5)),ROW(FORPTB13!#REF!))),"")</f>
        <v/>
      </c>
      <c r="G50" s="44" t="str">
        <f ca="1">IFERROR(INDEX(FORPTB13!$J$4:$J$580,_xlfn.AGGREGATE(15,6,(ROW(FORPTB13!$B$4:$B$580)-ROW(FORPTB13!#REF!)+1)/((FORPTB13!$B$4:$B$580=$B$5)),ROW(FORPTB13!#REF!))),"")</f>
        <v/>
      </c>
      <c r="H50" s="44" t="str">
        <f ca="1">IFERROR(INDEX(FORPTB13!$K$4:$K$580,_xlfn.AGGREGATE(15,6,(ROW(FORPTB13!$B$4:$B$580)-ROW(FORPTB13!#REF!)+1)/((FORPTB13!$B$4:$B$580=$B$5)),ROW(FORPTB13!#REF!))),"")</f>
        <v/>
      </c>
      <c r="I50" s="44" t="str">
        <f ca="1">IFERROR(INDEX(FORPTB13!$T$4:$T$580,_xlfn.AGGREGATE(15,6,(ROW(FORPTB13!$B$4:$B$580)-ROW(FORPTB13!#REF!)+1)/((FORPTB13!$B$4:$B$580=$B$5)),ROW(FORPTB13!#REF!))),"")</f>
        <v/>
      </c>
      <c r="J50" s="46" t="str">
        <f ca="1">IFERROR(INDEX(FORPTB13!$I$4:$I$580,_xlfn.AGGREGATE(15,6,(ROW(FORPTB13!$B$4:$B$580)-ROW(FORPTB13!#REF!)+1)/((FORPTB13!$B$4:$B$580=$B$5)),ROW(FORPTB13!#REF!))),"")</f>
        <v/>
      </c>
      <c r="K50" s="45" t="str">
        <f ca="1">IFERROR(INDEX(FORPTB13!$N$4:$N$580,_xlfn.AGGREGATE(15,6,(ROW(FORPTB13!$B$4:$B$580)-ROW(FORPTB13!#REF!)+1)/((FORPTB13!$B$4:$B$580=$B$5)),ROW(FORPTB13!#REF!))),"")</f>
        <v/>
      </c>
      <c r="L50" s="45" t="str">
        <f t="shared" ca="1" si="1"/>
        <v xml:space="preserve">  </v>
      </c>
      <c r="M50" s="46" t="str">
        <f ca="1">IFERROR(INDEX(FORPTB13!$L$4:$L$580,_xlfn.AGGREGATE(15,6,(ROW(FORPTB13!$B$4:$B$580)-ROW(FORPTB13!#REF!)+1)/((FORPTB13!$B$4:$B$580=$B$5)),ROW(FORPTB13!#REF!))),"")</f>
        <v/>
      </c>
      <c r="N50" s="44" t="str">
        <f ca="1">IFERROR(INDEX(FORPTB13!$M$4:$M$580,_xlfn.AGGREGATE(15,6,(ROW(FORPTB13!$B$4:$B$580)-ROW(FORPTB13!#REF!)+1)/((FORPTB13!$B$4:$B$580=$B$5)),ROW(FORPTB13!#REF!))),"")</f>
        <v/>
      </c>
    </row>
    <row r="51" spans="4:14" ht="16.8" x14ac:dyDescent="0.4">
      <c r="D51" s="41" t="str">
        <f t="shared" ca="1" si="2"/>
        <v/>
      </c>
      <c r="E51" s="41" t="str">
        <f ca="1">IFERROR(INDEX(FORPTB13!$F$4:$F$580,_xlfn.AGGREGATE(15,6,(ROW(FORPTB13!$B$4:$B$580)-ROW(FORPTB13!#REF!)+1)/((FORPTB13!$B$4:$B$580=$B$5)),ROW(FORPTB13!#REF!))),"")</f>
        <v/>
      </c>
      <c r="F51" s="47" t="str">
        <f ca="1">IFERROR(INDEX(FORPTB13!$H$4:$H$580,_xlfn.AGGREGATE(15,6,(ROW(FORPTB13!$B$4:$B$580)-ROW(FORPTB13!#REF!)+1)/((FORPTB13!$B$4:$B$580=$B$5)),ROW(FORPTB13!#REF!))),"")</f>
        <v/>
      </c>
      <c r="G51" s="41" t="str">
        <f ca="1">IFERROR(INDEX(FORPTB13!$J$4:$J$580,_xlfn.AGGREGATE(15,6,(ROW(FORPTB13!$B$4:$B$580)-ROW(FORPTB13!#REF!)+1)/((FORPTB13!$B$4:$B$580=$B$5)),ROW(FORPTB13!#REF!))),"")</f>
        <v/>
      </c>
      <c r="H51" s="41" t="str">
        <f ca="1">IFERROR(INDEX(FORPTB13!$K$4:$K$580,_xlfn.AGGREGATE(15,6,(ROW(FORPTB13!$B$4:$B$580)-ROW(FORPTB13!#REF!)+1)/((FORPTB13!$B$4:$B$580=$B$5)),ROW(FORPTB13!#REF!))),"")</f>
        <v/>
      </c>
      <c r="I51" s="41" t="str">
        <f ca="1">IFERROR(INDEX(FORPTB13!$T$4:$T$580,_xlfn.AGGREGATE(15,6,(ROW(FORPTB13!$B$4:$B$580)-ROW(FORPTB13!#REF!)+1)/((FORPTB13!$B$4:$B$580=$B$5)),ROW(FORPTB13!#REF!))),"")</f>
        <v/>
      </c>
      <c r="J51" s="43" t="str">
        <f ca="1">IFERROR(INDEX(FORPTB13!$I$4:$I$580,_xlfn.AGGREGATE(15,6,(ROW(FORPTB13!$B$4:$B$580)-ROW(FORPTB13!#REF!)+1)/((FORPTB13!$B$4:$B$580=$B$5)),ROW(FORPTB13!#REF!))),"")</f>
        <v/>
      </c>
      <c r="K51" s="42" t="str">
        <f ca="1">IFERROR(INDEX(FORPTB13!$N$4:$N$580,_xlfn.AGGREGATE(15,6,(ROW(FORPTB13!$B$4:$B$580)-ROW(FORPTB13!#REF!)+1)/((FORPTB13!$B$4:$B$580=$B$5)),ROW(FORPTB13!#REF!))),"")</f>
        <v/>
      </c>
      <c r="L51" s="42" t="str">
        <f t="shared" ca="1" si="1"/>
        <v xml:space="preserve">  </v>
      </c>
      <c r="M51" s="43" t="str">
        <f ca="1">IFERROR(INDEX(FORPTB13!$L$4:$L$580,_xlfn.AGGREGATE(15,6,(ROW(FORPTB13!$B$4:$B$580)-ROW(FORPTB13!#REF!)+1)/((FORPTB13!$B$4:$B$580=$B$5)),ROW(FORPTB13!#REF!))),"")</f>
        <v/>
      </c>
      <c r="N51" s="41" t="str">
        <f ca="1">IFERROR(INDEX(FORPTB13!$M$4:$M$580,_xlfn.AGGREGATE(15,6,(ROW(FORPTB13!$B$4:$B$580)-ROW(FORPTB13!#REF!)+1)/((FORPTB13!$B$4:$B$580=$B$5)),ROW(FORPTB13!#REF!))),"")</f>
        <v/>
      </c>
    </row>
    <row r="52" spans="4:14" ht="16.8" x14ac:dyDescent="0.4">
      <c r="D52" s="44" t="str">
        <f t="shared" ca="1" si="2"/>
        <v/>
      </c>
      <c r="E52" s="44" t="str">
        <f ca="1">IFERROR(INDEX(FORPTB13!$F$4:$F$580,_xlfn.AGGREGATE(15,6,(ROW(FORPTB13!$B$4:$B$580)-ROW(FORPTB13!#REF!)+1)/((FORPTB13!$B$4:$B$580=$B$5)),ROW(FORPTB13!#REF!))),"")</f>
        <v/>
      </c>
      <c r="F52" s="44" t="str">
        <f ca="1">IFERROR(INDEX(FORPTB13!$H$4:$H$580,_xlfn.AGGREGATE(15,6,(ROW(FORPTB13!$B$4:$B$580)-ROW(FORPTB13!#REF!)+1)/((FORPTB13!$B$4:$B$580=$B$5)),ROW(FORPTB13!#REF!))),"")</f>
        <v/>
      </c>
      <c r="G52" s="44" t="str">
        <f ca="1">IFERROR(INDEX(FORPTB13!$J$4:$J$580,_xlfn.AGGREGATE(15,6,(ROW(FORPTB13!$B$4:$B$580)-ROW(FORPTB13!#REF!)+1)/((FORPTB13!$B$4:$B$580=$B$5)),ROW(FORPTB13!#REF!))),"")</f>
        <v/>
      </c>
      <c r="H52" s="44" t="str">
        <f ca="1">IFERROR(INDEX(FORPTB13!$K$4:$K$580,_xlfn.AGGREGATE(15,6,(ROW(FORPTB13!$B$4:$B$580)-ROW(FORPTB13!#REF!)+1)/((FORPTB13!$B$4:$B$580=$B$5)),ROW(FORPTB13!#REF!))),"")</f>
        <v/>
      </c>
      <c r="I52" s="44" t="str">
        <f ca="1">IFERROR(INDEX(FORPTB13!$T$4:$T$580,_xlfn.AGGREGATE(15,6,(ROW(FORPTB13!$B$4:$B$580)-ROW(FORPTB13!#REF!)+1)/((FORPTB13!$B$4:$B$580=$B$5)),ROW(FORPTB13!#REF!))),"")</f>
        <v/>
      </c>
      <c r="J52" s="46" t="str">
        <f ca="1">IFERROR(INDEX(FORPTB13!$I$4:$I$580,_xlfn.AGGREGATE(15,6,(ROW(FORPTB13!$B$4:$B$580)-ROW(FORPTB13!#REF!)+1)/((FORPTB13!$B$4:$B$580=$B$5)),ROW(FORPTB13!#REF!))),"")</f>
        <v/>
      </c>
      <c r="K52" s="45" t="str">
        <f ca="1">IFERROR(INDEX(FORPTB13!$N$4:$N$580,_xlfn.AGGREGATE(15,6,(ROW(FORPTB13!$B$4:$B$580)-ROW(FORPTB13!#REF!)+1)/((FORPTB13!$B$4:$B$580=$B$5)),ROW(FORPTB13!#REF!))),"")</f>
        <v/>
      </c>
      <c r="L52" s="45" t="str">
        <f t="shared" ca="1" si="1"/>
        <v xml:space="preserve">  </v>
      </c>
      <c r="M52" s="46" t="str">
        <f ca="1">IFERROR(INDEX(FORPTB13!$L$4:$L$580,_xlfn.AGGREGATE(15,6,(ROW(FORPTB13!$B$4:$B$580)-ROW(FORPTB13!#REF!)+1)/((FORPTB13!$B$4:$B$580=$B$5)),ROW(FORPTB13!#REF!))),"")</f>
        <v/>
      </c>
      <c r="N52" s="44" t="str">
        <f ca="1">IFERROR(INDEX(FORPTB13!$M$4:$M$580,_xlfn.AGGREGATE(15,6,(ROW(FORPTB13!$B$4:$B$580)-ROW(FORPTB13!#REF!)+1)/((FORPTB13!$B$4:$B$580=$B$5)),ROW(FORPTB13!#REF!))),"")</f>
        <v/>
      </c>
    </row>
    <row r="53" spans="4:14" ht="16.8" x14ac:dyDescent="0.4">
      <c r="D53" s="41" t="str">
        <f t="shared" ca="1" si="2"/>
        <v/>
      </c>
      <c r="E53" s="41" t="str">
        <f ca="1">IFERROR(INDEX(FORPTB13!$F$4:$F$580,_xlfn.AGGREGATE(15,6,(ROW(FORPTB13!$B$4:$B$580)-ROW(FORPTB13!#REF!)+1)/((FORPTB13!$B$4:$B$580=$B$5)),ROW(FORPTB13!#REF!))),"")</f>
        <v/>
      </c>
      <c r="F53" s="47" t="str">
        <f ca="1">IFERROR(INDEX(FORPTB13!$H$4:$H$580,_xlfn.AGGREGATE(15,6,(ROW(FORPTB13!$B$4:$B$580)-ROW(FORPTB13!#REF!)+1)/((FORPTB13!$B$4:$B$580=$B$5)),ROW(FORPTB13!#REF!))),"")</f>
        <v/>
      </c>
      <c r="G53" s="41" t="str">
        <f ca="1">IFERROR(INDEX(FORPTB13!$J$4:$J$580,_xlfn.AGGREGATE(15,6,(ROW(FORPTB13!$B$4:$B$580)-ROW(FORPTB13!#REF!)+1)/((FORPTB13!$B$4:$B$580=$B$5)),ROW(FORPTB13!#REF!))),"")</f>
        <v/>
      </c>
      <c r="H53" s="41" t="str">
        <f ca="1">IFERROR(INDEX(FORPTB13!$K$4:$K$580,_xlfn.AGGREGATE(15,6,(ROW(FORPTB13!$B$4:$B$580)-ROW(FORPTB13!#REF!)+1)/((FORPTB13!$B$4:$B$580=$B$5)),ROW(FORPTB13!#REF!))),"")</f>
        <v/>
      </c>
      <c r="I53" s="41" t="str">
        <f ca="1">IFERROR(INDEX(FORPTB13!$T$4:$T$580,_xlfn.AGGREGATE(15,6,(ROW(FORPTB13!$B$4:$B$580)-ROW(FORPTB13!#REF!)+1)/((FORPTB13!$B$4:$B$580=$B$5)),ROW(FORPTB13!#REF!))),"")</f>
        <v/>
      </c>
      <c r="J53" s="43" t="str">
        <f ca="1">IFERROR(INDEX(FORPTB13!$I$4:$I$580,_xlfn.AGGREGATE(15,6,(ROW(FORPTB13!$B$4:$B$580)-ROW(FORPTB13!#REF!)+1)/((FORPTB13!$B$4:$B$580=$B$5)),ROW(FORPTB13!#REF!))),"")</f>
        <v/>
      </c>
      <c r="K53" s="42" t="str">
        <f ca="1">IFERROR(INDEX(FORPTB13!$N$4:$N$580,_xlfn.AGGREGATE(15,6,(ROW(FORPTB13!$B$4:$B$580)-ROW(FORPTB13!#REF!)+1)/((FORPTB13!$B$4:$B$580=$B$5)),ROW(FORPTB13!#REF!))),"")</f>
        <v/>
      </c>
      <c r="L53" s="42" t="str">
        <f t="shared" ca="1" si="1"/>
        <v xml:space="preserve">  </v>
      </c>
      <c r="M53" s="43" t="str">
        <f ca="1">IFERROR(INDEX(FORPTB13!$L$4:$L$580,_xlfn.AGGREGATE(15,6,(ROW(FORPTB13!$B$4:$B$580)-ROW(FORPTB13!#REF!)+1)/((FORPTB13!$B$4:$B$580=$B$5)),ROW(FORPTB13!#REF!))),"")</f>
        <v/>
      </c>
      <c r="N53" s="41" t="str">
        <f ca="1">IFERROR(INDEX(FORPTB13!$M$4:$M$580,_xlfn.AGGREGATE(15,6,(ROW(FORPTB13!$B$4:$B$580)-ROW(FORPTB13!#REF!)+1)/((FORPTB13!$B$4:$B$580=$B$5)),ROW(FORPTB13!#REF!))),"")</f>
        <v/>
      </c>
    </row>
    <row r="54" spans="4:14" ht="16.8" x14ac:dyDescent="0.4">
      <c r="D54" s="44" t="str">
        <f t="shared" ca="1" si="2"/>
        <v/>
      </c>
      <c r="E54" s="44" t="str">
        <f ca="1">IFERROR(INDEX(FORPTB13!$F$4:$F$580,_xlfn.AGGREGATE(15,6,(ROW(FORPTB13!$B$4:$B$580)-ROW(FORPTB13!#REF!)+1)/((FORPTB13!$B$4:$B$580=$B$5)),ROW(FORPTB13!#REF!))),"")</f>
        <v/>
      </c>
      <c r="F54" s="44" t="str">
        <f ca="1">IFERROR(INDEX(FORPTB13!$H$4:$H$580,_xlfn.AGGREGATE(15,6,(ROW(FORPTB13!$B$4:$B$580)-ROW(FORPTB13!#REF!)+1)/((FORPTB13!$B$4:$B$580=$B$5)),ROW(FORPTB13!#REF!))),"")</f>
        <v/>
      </c>
      <c r="G54" s="44" t="str">
        <f ca="1">IFERROR(INDEX(FORPTB13!$J$4:$J$580,_xlfn.AGGREGATE(15,6,(ROW(FORPTB13!$B$4:$B$580)-ROW(FORPTB13!#REF!)+1)/((FORPTB13!$B$4:$B$580=$B$5)),ROW(FORPTB13!#REF!))),"")</f>
        <v/>
      </c>
      <c r="H54" s="44" t="str">
        <f ca="1">IFERROR(INDEX(FORPTB13!$K$4:$K$580,_xlfn.AGGREGATE(15,6,(ROW(FORPTB13!$B$4:$B$580)-ROW(FORPTB13!#REF!)+1)/((FORPTB13!$B$4:$B$580=$B$5)),ROW(FORPTB13!#REF!))),"")</f>
        <v/>
      </c>
      <c r="I54" s="44" t="str">
        <f ca="1">IFERROR(INDEX(FORPTB13!$T$4:$T$580,_xlfn.AGGREGATE(15,6,(ROW(FORPTB13!$B$4:$B$580)-ROW(FORPTB13!#REF!)+1)/((FORPTB13!$B$4:$B$580=$B$5)),ROW(FORPTB13!#REF!))),"")</f>
        <v/>
      </c>
      <c r="J54" s="46" t="str">
        <f ca="1">IFERROR(INDEX(FORPTB13!$I$4:$I$580,_xlfn.AGGREGATE(15,6,(ROW(FORPTB13!$B$4:$B$580)-ROW(FORPTB13!#REF!)+1)/((FORPTB13!$B$4:$B$580=$B$5)),ROW(FORPTB13!#REF!))),"")</f>
        <v/>
      </c>
      <c r="K54" s="45" t="str">
        <f ca="1">IFERROR(INDEX(FORPTB13!$N$4:$N$580,_xlfn.AGGREGATE(15,6,(ROW(FORPTB13!$B$4:$B$580)-ROW(FORPTB13!#REF!)+1)/((FORPTB13!$B$4:$B$580=$B$5)),ROW(FORPTB13!#REF!))),"")</f>
        <v/>
      </c>
      <c r="L54" s="45" t="str">
        <f t="shared" ca="1" si="1"/>
        <v xml:space="preserve">  </v>
      </c>
      <c r="M54" s="46" t="str">
        <f ca="1">IFERROR(INDEX(FORPTB13!$L$4:$L$580,_xlfn.AGGREGATE(15,6,(ROW(FORPTB13!$B$4:$B$580)-ROW(FORPTB13!#REF!)+1)/((FORPTB13!$B$4:$B$580=$B$5)),ROW(FORPTB13!#REF!))),"")</f>
        <v/>
      </c>
      <c r="N54" s="44" t="str">
        <f ca="1">IFERROR(INDEX(FORPTB13!$M$4:$M$580,_xlfn.AGGREGATE(15,6,(ROW(FORPTB13!$B$4:$B$580)-ROW(FORPTB13!#REF!)+1)/((FORPTB13!$B$4:$B$580=$B$5)),ROW(FORPTB13!#REF!))),"")</f>
        <v/>
      </c>
    </row>
    <row r="55" spans="4:14" ht="16.8" x14ac:dyDescent="0.4">
      <c r="D55" s="41" t="str">
        <f t="shared" ca="1" si="2"/>
        <v/>
      </c>
      <c r="E55" s="41" t="str">
        <f ca="1">IFERROR(INDEX(FORPTB13!$F$4:$F$580,_xlfn.AGGREGATE(15,6,(ROW(FORPTB13!$B$4:$B$580)-ROW(FORPTB13!#REF!)+1)/((FORPTB13!$B$4:$B$580=$B$5)),ROW(FORPTB13!#REF!))),"")</f>
        <v/>
      </c>
      <c r="F55" s="47" t="str">
        <f ca="1">IFERROR(INDEX(FORPTB13!$H$4:$H$580,_xlfn.AGGREGATE(15,6,(ROW(FORPTB13!$B$4:$B$580)-ROW(FORPTB13!#REF!)+1)/((FORPTB13!$B$4:$B$580=$B$5)),ROW(FORPTB13!#REF!))),"")</f>
        <v/>
      </c>
      <c r="G55" s="41" t="str">
        <f ca="1">IFERROR(INDEX(FORPTB13!$J$4:$J$580,_xlfn.AGGREGATE(15,6,(ROW(FORPTB13!$B$4:$B$580)-ROW(FORPTB13!#REF!)+1)/((FORPTB13!$B$4:$B$580=$B$5)),ROW(FORPTB13!#REF!))),"")</f>
        <v/>
      </c>
      <c r="H55" s="41" t="str">
        <f ca="1">IFERROR(INDEX(FORPTB13!$K$4:$K$580,_xlfn.AGGREGATE(15,6,(ROW(FORPTB13!$B$4:$B$580)-ROW(FORPTB13!#REF!)+1)/((FORPTB13!$B$4:$B$580=$B$5)),ROW(FORPTB13!#REF!))),"")</f>
        <v/>
      </c>
      <c r="I55" s="41" t="str">
        <f ca="1">IFERROR(INDEX(FORPTB13!$T$4:$T$580,_xlfn.AGGREGATE(15,6,(ROW(FORPTB13!$B$4:$B$580)-ROW(FORPTB13!#REF!)+1)/((FORPTB13!$B$4:$B$580=$B$5)),ROW(FORPTB13!#REF!))),"")</f>
        <v/>
      </c>
      <c r="J55" s="43" t="str">
        <f ca="1">IFERROR(INDEX(FORPTB13!$I$4:$I$580,_xlfn.AGGREGATE(15,6,(ROW(FORPTB13!$B$4:$B$580)-ROW(FORPTB13!#REF!)+1)/((FORPTB13!$B$4:$B$580=$B$5)),ROW(FORPTB13!#REF!))),"")</f>
        <v/>
      </c>
      <c r="K55" s="42" t="str">
        <f ca="1">IFERROR(INDEX(FORPTB13!$N$4:$N$580,_xlfn.AGGREGATE(15,6,(ROW(FORPTB13!$B$4:$B$580)-ROW(FORPTB13!#REF!)+1)/((FORPTB13!$B$4:$B$580=$B$5)),ROW(FORPTB13!#REF!))),"")</f>
        <v/>
      </c>
      <c r="L55" s="42" t="str">
        <f t="shared" ca="1" si="1"/>
        <v xml:space="preserve">  </v>
      </c>
      <c r="M55" s="43" t="str">
        <f ca="1">IFERROR(INDEX(FORPTB13!$L$4:$L$580,_xlfn.AGGREGATE(15,6,(ROW(FORPTB13!$B$4:$B$580)-ROW(FORPTB13!#REF!)+1)/((FORPTB13!$B$4:$B$580=$B$5)),ROW(FORPTB13!#REF!))),"")</f>
        <v/>
      </c>
      <c r="N55" s="41" t="str">
        <f ca="1">IFERROR(INDEX(FORPTB13!$M$4:$M$580,_xlfn.AGGREGATE(15,6,(ROW(FORPTB13!$B$4:$B$580)-ROW(FORPTB13!#REF!)+1)/((FORPTB13!$B$4:$B$580=$B$5)),ROW(FORPTB13!#REF!))),"")</f>
        <v/>
      </c>
    </row>
    <row r="56" spans="4:14" ht="16.8" x14ac:dyDescent="0.4">
      <c r="D56" s="44" t="str">
        <f t="shared" ca="1" si="2"/>
        <v/>
      </c>
      <c r="E56" s="44" t="str">
        <f ca="1">IFERROR(INDEX(FORPTB13!$F$4:$F$580,_xlfn.AGGREGATE(15,6,(ROW(FORPTB13!$B$4:$B$580)-ROW(FORPTB13!#REF!)+1)/((FORPTB13!$B$4:$B$580=$B$5)),ROW(FORPTB13!#REF!))),"")</f>
        <v/>
      </c>
      <c r="F56" s="44" t="str">
        <f ca="1">IFERROR(INDEX(FORPTB13!$H$4:$H$580,_xlfn.AGGREGATE(15,6,(ROW(FORPTB13!$B$4:$B$580)-ROW(FORPTB13!#REF!)+1)/((FORPTB13!$B$4:$B$580=$B$5)),ROW(FORPTB13!#REF!))),"")</f>
        <v/>
      </c>
      <c r="G56" s="44" t="str">
        <f ca="1">IFERROR(INDEX(FORPTB13!$J$4:$J$580,_xlfn.AGGREGATE(15,6,(ROW(FORPTB13!$B$4:$B$580)-ROW(FORPTB13!#REF!)+1)/((FORPTB13!$B$4:$B$580=$B$5)),ROW(FORPTB13!#REF!))),"")</f>
        <v/>
      </c>
      <c r="H56" s="44" t="str">
        <f ca="1">IFERROR(INDEX(FORPTB13!$K$4:$K$580,_xlfn.AGGREGATE(15,6,(ROW(FORPTB13!$B$4:$B$580)-ROW(FORPTB13!#REF!)+1)/((FORPTB13!$B$4:$B$580=$B$5)),ROW(FORPTB13!#REF!))),"")</f>
        <v/>
      </c>
      <c r="I56" s="44" t="str">
        <f ca="1">IFERROR(INDEX(FORPTB13!$T$4:$T$580,_xlfn.AGGREGATE(15,6,(ROW(FORPTB13!$B$4:$B$580)-ROW(FORPTB13!#REF!)+1)/((FORPTB13!$B$4:$B$580=$B$5)),ROW(FORPTB13!#REF!))),"")</f>
        <v/>
      </c>
      <c r="J56" s="46" t="str">
        <f ca="1">IFERROR(INDEX(FORPTB13!$I$4:$I$580,_xlfn.AGGREGATE(15,6,(ROW(FORPTB13!$B$4:$B$580)-ROW(FORPTB13!#REF!)+1)/((FORPTB13!$B$4:$B$580=$B$5)),ROW(FORPTB13!#REF!))),"")</f>
        <v/>
      </c>
      <c r="K56" s="45" t="str">
        <f ca="1">IFERROR(INDEX(FORPTB13!$N$4:$N$580,_xlfn.AGGREGATE(15,6,(ROW(FORPTB13!$B$4:$B$580)-ROW(FORPTB13!#REF!)+1)/((FORPTB13!$B$4:$B$580=$B$5)),ROW(FORPTB13!#REF!))),"")</f>
        <v/>
      </c>
      <c r="L56" s="45" t="str">
        <f t="shared" ca="1" si="1"/>
        <v xml:space="preserve">  </v>
      </c>
      <c r="M56" s="46" t="str">
        <f ca="1">IFERROR(INDEX(FORPTB13!$L$4:$L$580,_xlfn.AGGREGATE(15,6,(ROW(FORPTB13!$B$4:$B$580)-ROW(FORPTB13!#REF!)+1)/((FORPTB13!$B$4:$B$580=$B$5)),ROW(FORPTB13!#REF!))),"")</f>
        <v/>
      </c>
      <c r="N56" s="44" t="str">
        <f ca="1">IFERROR(INDEX(FORPTB13!$M$4:$M$580,_xlfn.AGGREGATE(15,6,(ROW(FORPTB13!$B$4:$B$580)-ROW(FORPTB13!#REF!)+1)/((FORPTB13!$B$4:$B$580=$B$5)),ROW(FORPTB13!#REF!))),"")</f>
        <v/>
      </c>
    </row>
    <row r="57" spans="4:14" ht="16.8" x14ac:dyDescent="0.4">
      <c r="D57" s="41" t="str">
        <f t="shared" ca="1" si="2"/>
        <v/>
      </c>
      <c r="E57" s="41" t="str">
        <f ca="1">IFERROR(INDEX(FORPTB13!$F$4:$F$580,_xlfn.AGGREGATE(15,6,(ROW(FORPTB13!$B$4:$B$580)-ROW(FORPTB13!#REF!)+1)/((FORPTB13!$B$4:$B$580=$B$5)),ROW(FORPTB13!#REF!))),"")</f>
        <v/>
      </c>
      <c r="F57" s="47" t="str">
        <f ca="1">IFERROR(INDEX(FORPTB13!$H$4:$H$580,_xlfn.AGGREGATE(15,6,(ROW(FORPTB13!$B$4:$B$580)-ROW(FORPTB13!#REF!)+1)/((FORPTB13!$B$4:$B$580=$B$5)),ROW(FORPTB13!#REF!))),"")</f>
        <v/>
      </c>
      <c r="G57" s="41" t="str">
        <f ca="1">IFERROR(INDEX(FORPTB13!$J$4:$J$580,_xlfn.AGGREGATE(15,6,(ROW(FORPTB13!$B$4:$B$580)-ROW(FORPTB13!#REF!)+1)/((FORPTB13!$B$4:$B$580=$B$5)),ROW(FORPTB13!#REF!))),"")</f>
        <v/>
      </c>
      <c r="H57" s="41" t="str">
        <f ca="1">IFERROR(INDEX(FORPTB13!$K$4:$K$580,_xlfn.AGGREGATE(15,6,(ROW(FORPTB13!$B$4:$B$580)-ROW(FORPTB13!#REF!)+1)/((FORPTB13!$B$4:$B$580=$B$5)),ROW(FORPTB13!#REF!))),"")</f>
        <v/>
      </c>
      <c r="I57" s="41" t="str">
        <f ca="1">IFERROR(INDEX(FORPTB13!$T$4:$T$580,_xlfn.AGGREGATE(15,6,(ROW(FORPTB13!$B$4:$B$580)-ROW(FORPTB13!#REF!)+1)/((FORPTB13!$B$4:$B$580=$B$5)),ROW(FORPTB13!#REF!))),"")</f>
        <v/>
      </c>
      <c r="J57" s="43" t="str">
        <f ca="1">IFERROR(INDEX(FORPTB13!$I$4:$I$580,_xlfn.AGGREGATE(15,6,(ROW(FORPTB13!$B$4:$B$580)-ROW(FORPTB13!#REF!)+1)/((FORPTB13!$B$4:$B$580=$B$5)),ROW(FORPTB13!#REF!))),"")</f>
        <v/>
      </c>
      <c r="K57" s="42" t="str">
        <f ca="1">IFERROR(INDEX(FORPTB13!$N$4:$N$580,_xlfn.AGGREGATE(15,6,(ROW(FORPTB13!$B$4:$B$580)-ROW(FORPTB13!#REF!)+1)/((FORPTB13!$B$4:$B$580=$B$5)),ROW(FORPTB13!#REF!))),"")</f>
        <v/>
      </c>
      <c r="L57" s="42" t="str">
        <f t="shared" ca="1" si="1"/>
        <v xml:space="preserve">  </v>
      </c>
      <c r="M57" s="43" t="str">
        <f ca="1">IFERROR(INDEX(FORPTB13!$L$4:$L$580,_xlfn.AGGREGATE(15,6,(ROW(FORPTB13!$B$4:$B$580)-ROW(FORPTB13!#REF!)+1)/((FORPTB13!$B$4:$B$580=$B$5)),ROW(FORPTB13!#REF!))),"")</f>
        <v/>
      </c>
      <c r="N57" s="41" t="str">
        <f ca="1">IFERROR(INDEX(FORPTB13!$M$4:$M$580,_xlfn.AGGREGATE(15,6,(ROW(FORPTB13!$B$4:$B$580)-ROW(FORPTB13!#REF!)+1)/((FORPTB13!$B$4:$B$580=$B$5)),ROW(FORPTB13!#REF!))),"")</f>
        <v/>
      </c>
    </row>
    <row r="58" spans="4:14" ht="16.8" x14ac:dyDescent="0.4">
      <c r="D58" s="44" t="str">
        <f t="shared" ca="1" si="2"/>
        <v/>
      </c>
      <c r="E58" s="44" t="str">
        <f ca="1">IFERROR(INDEX(FORPTB13!$F$4:$F$580,_xlfn.AGGREGATE(15,6,(ROW(FORPTB13!$B$4:$B$580)-ROW(FORPTB13!#REF!)+1)/((FORPTB13!$B$4:$B$580=$B$5)),ROW(FORPTB13!#REF!))),"")</f>
        <v/>
      </c>
      <c r="F58" s="44" t="str">
        <f ca="1">IFERROR(INDEX(FORPTB13!$H$4:$H$580,_xlfn.AGGREGATE(15,6,(ROW(FORPTB13!$B$4:$B$580)-ROW(FORPTB13!#REF!)+1)/((FORPTB13!$B$4:$B$580=$B$5)),ROW(FORPTB13!#REF!))),"")</f>
        <v/>
      </c>
      <c r="G58" s="44" t="str">
        <f ca="1">IFERROR(INDEX(FORPTB13!$J$4:$J$580,_xlfn.AGGREGATE(15,6,(ROW(FORPTB13!$B$4:$B$580)-ROW(FORPTB13!#REF!)+1)/((FORPTB13!$B$4:$B$580=$B$5)),ROW(FORPTB13!#REF!))),"")</f>
        <v/>
      </c>
      <c r="H58" s="44" t="str">
        <f ca="1">IFERROR(INDEX(FORPTB13!$K$4:$K$580,_xlfn.AGGREGATE(15,6,(ROW(FORPTB13!$B$4:$B$580)-ROW(FORPTB13!#REF!)+1)/((FORPTB13!$B$4:$B$580=$B$5)),ROW(FORPTB13!#REF!))),"")</f>
        <v/>
      </c>
      <c r="I58" s="44" t="str">
        <f ca="1">IFERROR(INDEX(FORPTB13!$T$4:$T$580,_xlfn.AGGREGATE(15,6,(ROW(FORPTB13!$B$4:$B$580)-ROW(FORPTB13!#REF!)+1)/((FORPTB13!$B$4:$B$580=$B$5)),ROW(FORPTB13!#REF!))),"")</f>
        <v/>
      </c>
      <c r="J58" s="46" t="str">
        <f ca="1">IFERROR(INDEX(FORPTB13!$I$4:$I$580,_xlfn.AGGREGATE(15,6,(ROW(FORPTB13!$B$4:$B$580)-ROW(FORPTB13!#REF!)+1)/((FORPTB13!$B$4:$B$580=$B$5)),ROW(FORPTB13!#REF!))),"")</f>
        <v/>
      </c>
      <c r="K58" s="45" t="str">
        <f ca="1">IFERROR(INDEX(FORPTB13!$N$4:$N$580,_xlfn.AGGREGATE(15,6,(ROW(FORPTB13!$B$4:$B$580)-ROW(FORPTB13!#REF!)+1)/((FORPTB13!$B$4:$B$580=$B$5)),ROW(FORPTB13!#REF!))),"")</f>
        <v/>
      </c>
      <c r="L58" s="45" t="str">
        <f t="shared" ca="1" si="1"/>
        <v xml:space="preserve">  </v>
      </c>
      <c r="M58" s="46" t="str">
        <f ca="1">IFERROR(INDEX(FORPTB13!$L$4:$L$580,_xlfn.AGGREGATE(15,6,(ROW(FORPTB13!$B$4:$B$580)-ROW(FORPTB13!#REF!)+1)/((FORPTB13!$B$4:$B$580=$B$5)),ROW(FORPTB13!#REF!))),"")</f>
        <v/>
      </c>
      <c r="N58" s="44" t="str">
        <f ca="1">IFERROR(INDEX(FORPTB13!$M$4:$M$580,_xlfn.AGGREGATE(15,6,(ROW(FORPTB13!$B$4:$B$580)-ROW(FORPTB13!#REF!)+1)/((FORPTB13!$B$4:$B$580=$B$5)),ROW(FORPTB13!#REF!))),"")</f>
        <v/>
      </c>
    </row>
    <row r="59" spans="4:14" ht="16.8" x14ac:dyDescent="0.4">
      <c r="D59" s="41" t="str">
        <f t="shared" ca="1" si="2"/>
        <v/>
      </c>
      <c r="E59" s="41" t="str">
        <f ca="1">IFERROR(INDEX(FORPTB13!$F$4:$F$580,_xlfn.AGGREGATE(15,6,(ROW(FORPTB13!$B$4:$B$580)-ROW(FORPTB13!#REF!)+1)/((FORPTB13!$B$4:$B$580=$B$5)),ROW(FORPTB13!#REF!))),"")</f>
        <v/>
      </c>
      <c r="F59" s="47" t="str">
        <f ca="1">IFERROR(INDEX(FORPTB13!$H$4:$H$580,_xlfn.AGGREGATE(15,6,(ROW(FORPTB13!$B$4:$B$580)-ROW(FORPTB13!#REF!)+1)/((FORPTB13!$B$4:$B$580=$B$5)),ROW(FORPTB13!#REF!))),"")</f>
        <v/>
      </c>
      <c r="G59" s="41" t="str">
        <f ca="1">IFERROR(INDEX(FORPTB13!$J$4:$J$580,_xlfn.AGGREGATE(15,6,(ROW(FORPTB13!$B$4:$B$580)-ROW(FORPTB13!#REF!)+1)/((FORPTB13!$B$4:$B$580=$B$5)),ROW(FORPTB13!#REF!))),"")</f>
        <v/>
      </c>
      <c r="H59" s="41" t="str">
        <f ca="1">IFERROR(INDEX(FORPTB13!$K$4:$K$580,_xlfn.AGGREGATE(15,6,(ROW(FORPTB13!$B$4:$B$580)-ROW(FORPTB13!#REF!)+1)/((FORPTB13!$B$4:$B$580=$B$5)),ROW(FORPTB13!#REF!))),"")</f>
        <v/>
      </c>
      <c r="I59" s="41" t="str">
        <f ca="1">IFERROR(INDEX(FORPTB13!$T$4:$T$580,_xlfn.AGGREGATE(15,6,(ROW(FORPTB13!$B$4:$B$580)-ROW(FORPTB13!#REF!)+1)/((FORPTB13!$B$4:$B$580=$B$5)),ROW(FORPTB13!#REF!))),"")</f>
        <v/>
      </c>
      <c r="J59" s="43" t="str">
        <f ca="1">IFERROR(INDEX(FORPTB13!$I$4:$I$580,_xlfn.AGGREGATE(15,6,(ROW(FORPTB13!$B$4:$B$580)-ROW(FORPTB13!#REF!)+1)/((FORPTB13!$B$4:$B$580=$B$5)),ROW(FORPTB13!#REF!))),"")</f>
        <v/>
      </c>
      <c r="K59" s="42" t="str">
        <f ca="1">IFERROR(INDEX(FORPTB13!$N$4:$N$580,_xlfn.AGGREGATE(15,6,(ROW(FORPTB13!$B$4:$B$580)-ROW(FORPTB13!#REF!)+1)/((FORPTB13!$B$4:$B$580=$B$5)),ROW(FORPTB13!#REF!))),"")</f>
        <v/>
      </c>
      <c r="L59" s="42" t="str">
        <f t="shared" ca="1" si="1"/>
        <v xml:space="preserve">  </v>
      </c>
      <c r="M59" s="43" t="str">
        <f ca="1">IFERROR(INDEX(FORPTB13!$L$4:$L$580,_xlfn.AGGREGATE(15,6,(ROW(FORPTB13!$B$4:$B$580)-ROW(FORPTB13!#REF!)+1)/((FORPTB13!$B$4:$B$580=$B$5)),ROW(FORPTB13!#REF!))),"")</f>
        <v/>
      </c>
      <c r="N59" s="41" t="str">
        <f ca="1">IFERROR(INDEX(FORPTB13!$M$4:$M$580,_xlfn.AGGREGATE(15,6,(ROW(FORPTB13!$B$4:$B$580)-ROW(FORPTB13!#REF!)+1)/((FORPTB13!$B$4:$B$580=$B$5)),ROW(FORPTB13!#REF!))),"")</f>
        <v/>
      </c>
    </row>
    <row r="60" spans="4:14" ht="16.8" x14ac:dyDescent="0.4">
      <c r="D60" s="44" t="str">
        <f t="shared" ca="1" si="2"/>
        <v/>
      </c>
      <c r="E60" s="44" t="str">
        <f ca="1">IFERROR(INDEX(FORPTB13!$F$4:$F$580,_xlfn.AGGREGATE(15,6,(ROW(FORPTB13!$B$4:$B$580)-ROW(FORPTB13!#REF!)+1)/((FORPTB13!$B$4:$B$580=$B$5)),ROW(FORPTB13!#REF!))),"")</f>
        <v/>
      </c>
      <c r="F60" s="44" t="str">
        <f ca="1">IFERROR(INDEX(FORPTB13!$H$4:$H$580,_xlfn.AGGREGATE(15,6,(ROW(FORPTB13!$B$4:$B$580)-ROW(FORPTB13!#REF!)+1)/((FORPTB13!$B$4:$B$580=$B$5)),ROW(FORPTB13!#REF!))),"")</f>
        <v/>
      </c>
      <c r="G60" s="44" t="str">
        <f ca="1">IFERROR(INDEX(FORPTB13!$J$4:$J$580,_xlfn.AGGREGATE(15,6,(ROW(FORPTB13!$B$4:$B$580)-ROW(FORPTB13!#REF!)+1)/((FORPTB13!$B$4:$B$580=$B$5)),ROW(FORPTB13!#REF!))),"")</f>
        <v/>
      </c>
      <c r="H60" s="44" t="str">
        <f ca="1">IFERROR(INDEX(FORPTB13!$K$4:$K$580,_xlfn.AGGREGATE(15,6,(ROW(FORPTB13!$B$4:$B$580)-ROW(FORPTB13!#REF!)+1)/((FORPTB13!$B$4:$B$580=$B$5)),ROW(FORPTB13!#REF!))),"")</f>
        <v/>
      </c>
      <c r="I60" s="44" t="str">
        <f ca="1">IFERROR(INDEX(FORPTB13!$T$4:$T$580,_xlfn.AGGREGATE(15,6,(ROW(FORPTB13!$B$4:$B$580)-ROW(FORPTB13!#REF!)+1)/((FORPTB13!$B$4:$B$580=$B$5)),ROW(FORPTB13!#REF!))),"")</f>
        <v/>
      </c>
      <c r="J60" s="46" t="str">
        <f ca="1">IFERROR(INDEX(FORPTB13!$I$4:$I$580,_xlfn.AGGREGATE(15,6,(ROW(FORPTB13!$B$4:$B$580)-ROW(FORPTB13!#REF!)+1)/((FORPTB13!$B$4:$B$580=$B$5)),ROW(FORPTB13!#REF!))),"")</f>
        <v/>
      </c>
      <c r="K60" s="45" t="str">
        <f ca="1">IFERROR(INDEX(FORPTB13!$N$4:$N$580,_xlfn.AGGREGATE(15,6,(ROW(FORPTB13!$B$4:$B$580)-ROW(FORPTB13!#REF!)+1)/((FORPTB13!$B$4:$B$580=$B$5)),ROW(FORPTB13!#REF!))),"")</f>
        <v/>
      </c>
      <c r="L60" s="45" t="str">
        <f t="shared" ca="1" si="1"/>
        <v xml:space="preserve">  </v>
      </c>
      <c r="M60" s="46" t="str">
        <f ca="1">IFERROR(INDEX(FORPTB13!$L$4:$L$580,_xlfn.AGGREGATE(15,6,(ROW(FORPTB13!$B$4:$B$580)-ROW(FORPTB13!#REF!)+1)/((FORPTB13!$B$4:$B$580=$B$5)),ROW(FORPTB13!#REF!))),"")</f>
        <v/>
      </c>
      <c r="N60" s="44" t="str">
        <f ca="1">IFERROR(INDEX(FORPTB13!$M$4:$M$580,_xlfn.AGGREGATE(15,6,(ROW(FORPTB13!$B$4:$B$580)-ROW(FORPTB13!#REF!)+1)/((FORPTB13!$B$4:$B$580=$B$5)),ROW(FORPTB13!#REF!))),"")</f>
        <v/>
      </c>
    </row>
    <row r="61" spans="4:14" ht="16.8" x14ac:dyDescent="0.4">
      <c r="D61" s="41" t="str">
        <f t="shared" ca="1" si="2"/>
        <v/>
      </c>
      <c r="E61" s="41" t="str">
        <f ca="1">IFERROR(INDEX(FORPTB13!$F$4:$F$580,_xlfn.AGGREGATE(15,6,(ROW(FORPTB13!$B$4:$B$580)-ROW(FORPTB13!#REF!)+1)/((FORPTB13!$B$4:$B$580=$B$5)),ROW(FORPTB13!#REF!))),"")</f>
        <v/>
      </c>
      <c r="F61" s="47" t="str">
        <f ca="1">IFERROR(INDEX(FORPTB13!$H$4:$H$580,_xlfn.AGGREGATE(15,6,(ROW(FORPTB13!$B$4:$B$580)-ROW(FORPTB13!#REF!)+1)/((FORPTB13!$B$4:$B$580=$B$5)),ROW(FORPTB13!#REF!))),"")</f>
        <v/>
      </c>
      <c r="G61" s="41" t="str">
        <f ca="1">IFERROR(INDEX(FORPTB13!$J$4:$J$580,_xlfn.AGGREGATE(15,6,(ROW(FORPTB13!$B$4:$B$580)-ROW(FORPTB13!#REF!)+1)/((FORPTB13!$B$4:$B$580=$B$5)),ROW(FORPTB13!#REF!))),"")</f>
        <v/>
      </c>
      <c r="H61" s="41" t="str">
        <f ca="1">IFERROR(INDEX(FORPTB13!$K$4:$K$580,_xlfn.AGGREGATE(15,6,(ROW(FORPTB13!$B$4:$B$580)-ROW(FORPTB13!#REF!)+1)/((FORPTB13!$B$4:$B$580=$B$5)),ROW(FORPTB13!#REF!))),"")</f>
        <v/>
      </c>
      <c r="I61" s="41" t="str">
        <f ca="1">IFERROR(INDEX(FORPTB13!$T$4:$T$580,_xlfn.AGGREGATE(15,6,(ROW(FORPTB13!$B$4:$B$580)-ROW(FORPTB13!#REF!)+1)/((FORPTB13!$B$4:$B$580=$B$5)),ROW(FORPTB13!#REF!))),"")</f>
        <v/>
      </c>
      <c r="J61" s="43" t="str">
        <f ca="1">IFERROR(INDEX(FORPTB13!$I$4:$I$580,_xlfn.AGGREGATE(15,6,(ROW(FORPTB13!$B$4:$B$580)-ROW(FORPTB13!#REF!)+1)/((FORPTB13!$B$4:$B$580=$B$5)),ROW(FORPTB13!#REF!))),"")</f>
        <v/>
      </c>
      <c r="K61" s="42" t="str">
        <f ca="1">IFERROR(INDEX(FORPTB13!$N$4:$N$580,_xlfn.AGGREGATE(15,6,(ROW(FORPTB13!$B$4:$B$580)-ROW(FORPTB13!#REF!)+1)/((FORPTB13!$B$4:$B$580=$B$5)),ROW(FORPTB13!#REF!))),"")</f>
        <v/>
      </c>
      <c r="L61" s="42" t="str">
        <f t="shared" ca="1" si="1"/>
        <v xml:space="preserve">  </v>
      </c>
      <c r="M61" s="43" t="str">
        <f ca="1">IFERROR(INDEX(FORPTB13!$L$4:$L$580,_xlfn.AGGREGATE(15,6,(ROW(FORPTB13!$B$4:$B$580)-ROW(FORPTB13!#REF!)+1)/((FORPTB13!$B$4:$B$580=$B$5)),ROW(FORPTB13!#REF!))),"")</f>
        <v/>
      </c>
      <c r="N61" s="41" t="str">
        <f ca="1">IFERROR(INDEX(FORPTB13!$M$4:$M$580,_xlfn.AGGREGATE(15,6,(ROW(FORPTB13!$B$4:$B$580)-ROW(FORPTB13!#REF!)+1)/((FORPTB13!$B$4:$B$580=$B$5)),ROW(FORPTB13!#REF!))),"")</f>
        <v/>
      </c>
    </row>
    <row r="62" spans="4:14" ht="16.8" x14ac:dyDescent="0.4">
      <c r="D62" s="44" t="str">
        <f t="shared" ca="1" si="2"/>
        <v/>
      </c>
      <c r="E62" s="44" t="str">
        <f ca="1">IFERROR(INDEX(FORPTB13!$F$4:$F$580,_xlfn.AGGREGATE(15,6,(ROW(FORPTB13!$B$4:$B$580)-ROW(FORPTB13!#REF!)+1)/((FORPTB13!$B$4:$B$580=$B$5)),ROW(FORPTB13!#REF!))),"")</f>
        <v/>
      </c>
      <c r="F62" s="44" t="str">
        <f ca="1">IFERROR(INDEX(FORPTB13!$H$4:$H$580,_xlfn.AGGREGATE(15,6,(ROW(FORPTB13!$B$4:$B$580)-ROW(FORPTB13!#REF!)+1)/((FORPTB13!$B$4:$B$580=$B$5)),ROW(FORPTB13!#REF!))),"")</f>
        <v/>
      </c>
      <c r="G62" s="44" t="str">
        <f ca="1">IFERROR(INDEX(FORPTB13!$J$4:$J$580,_xlfn.AGGREGATE(15,6,(ROW(FORPTB13!$B$4:$B$580)-ROW(FORPTB13!#REF!)+1)/((FORPTB13!$B$4:$B$580=$B$5)),ROW(FORPTB13!#REF!))),"")</f>
        <v/>
      </c>
      <c r="H62" s="44" t="str">
        <f ca="1">IFERROR(INDEX(FORPTB13!$K$4:$K$580,_xlfn.AGGREGATE(15,6,(ROW(FORPTB13!$B$4:$B$580)-ROW(FORPTB13!#REF!)+1)/((FORPTB13!$B$4:$B$580=$B$5)),ROW(FORPTB13!#REF!))),"")</f>
        <v/>
      </c>
      <c r="I62" s="44" t="str">
        <f ca="1">IFERROR(INDEX(FORPTB13!$T$4:$T$580,_xlfn.AGGREGATE(15,6,(ROW(FORPTB13!$B$4:$B$580)-ROW(FORPTB13!#REF!)+1)/((FORPTB13!$B$4:$B$580=$B$5)),ROW(FORPTB13!#REF!))),"")</f>
        <v/>
      </c>
      <c r="J62" s="46" t="str">
        <f ca="1">IFERROR(INDEX(FORPTB13!$I$4:$I$580,_xlfn.AGGREGATE(15,6,(ROW(FORPTB13!$B$4:$B$580)-ROW(FORPTB13!#REF!)+1)/((FORPTB13!$B$4:$B$580=$B$5)),ROW(FORPTB13!#REF!))),"")</f>
        <v/>
      </c>
      <c r="K62" s="45" t="str">
        <f ca="1">IFERROR(INDEX(FORPTB13!$N$4:$N$580,_xlfn.AGGREGATE(15,6,(ROW(FORPTB13!$B$4:$B$580)-ROW(FORPTB13!#REF!)+1)/((FORPTB13!$B$4:$B$580=$B$5)),ROW(FORPTB13!#REF!))),"")</f>
        <v/>
      </c>
      <c r="L62" s="45" t="str">
        <f t="shared" ca="1" si="1"/>
        <v xml:space="preserve">  </v>
      </c>
      <c r="M62" s="46" t="str">
        <f ca="1">IFERROR(INDEX(FORPTB13!$L$4:$L$580,_xlfn.AGGREGATE(15,6,(ROW(FORPTB13!$B$4:$B$580)-ROW(FORPTB13!#REF!)+1)/((FORPTB13!$B$4:$B$580=$B$5)),ROW(FORPTB13!#REF!))),"")</f>
        <v/>
      </c>
      <c r="N62" s="44" t="str">
        <f ca="1">IFERROR(INDEX(FORPTB13!$M$4:$M$580,_xlfn.AGGREGATE(15,6,(ROW(FORPTB13!$B$4:$B$580)-ROW(FORPTB13!#REF!)+1)/((FORPTB13!$B$4:$B$580=$B$5)),ROW(FORPTB13!#REF!))),"")</f>
        <v/>
      </c>
    </row>
    <row r="63" spans="4:14" ht="16.8" x14ac:dyDescent="0.4">
      <c r="D63" s="41" t="str">
        <f t="shared" ca="1" si="2"/>
        <v/>
      </c>
      <c r="E63" s="41" t="str">
        <f ca="1">IFERROR(INDEX(FORPTB13!$F$4:$F$580,_xlfn.AGGREGATE(15,6,(ROW(FORPTB13!$B$4:$B$580)-ROW(FORPTB13!#REF!)+1)/((FORPTB13!$B$4:$B$580=$B$5)),ROW(FORPTB13!#REF!))),"")</f>
        <v/>
      </c>
      <c r="F63" s="47" t="str">
        <f ca="1">IFERROR(INDEX(FORPTB13!$H$4:$H$580,_xlfn.AGGREGATE(15,6,(ROW(FORPTB13!$B$4:$B$580)-ROW(FORPTB13!#REF!)+1)/((FORPTB13!$B$4:$B$580=$B$5)),ROW(FORPTB13!#REF!))),"")</f>
        <v/>
      </c>
      <c r="G63" s="41" t="str">
        <f ca="1">IFERROR(INDEX(FORPTB13!$J$4:$J$580,_xlfn.AGGREGATE(15,6,(ROW(FORPTB13!$B$4:$B$580)-ROW(FORPTB13!#REF!)+1)/((FORPTB13!$B$4:$B$580=$B$5)),ROW(FORPTB13!#REF!))),"")</f>
        <v/>
      </c>
      <c r="H63" s="41" t="str">
        <f ca="1">IFERROR(INDEX(FORPTB13!$K$4:$K$580,_xlfn.AGGREGATE(15,6,(ROW(FORPTB13!$B$4:$B$580)-ROW(FORPTB13!#REF!)+1)/((FORPTB13!$B$4:$B$580=$B$5)),ROW(FORPTB13!#REF!))),"")</f>
        <v/>
      </c>
      <c r="I63" s="41" t="str">
        <f ca="1">IFERROR(INDEX(FORPTB13!$T$4:$T$580,_xlfn.AGGREGATE(15,6,(ROW(FORPTB13!$B$4:$B$580)-ROW(FORPTB13!#REF!)+1)/((FORPTB13!$B$4:$B$580=$B$5)),ROW(FORPTB13!#REF!))),"")</f>
        <v/>
      </c>
      <c r="J63" s="43" t="str">
        <f ca="1">IFERROR(INDEX(FORPTB13!$I$4:$I$580,_xlfn.AGGREGATE(15,6,(ROW(FORPTB13!$B$4:$B$580)-ROW(FORPTB13!#REF!)+1)/((FORPTB13!$B$4:$B$580=$B$5)),ROW(FORPTB13!#REF!))),"")</f>
        <v/>
      </c>
      <c r="K63" s="42" t="str">
        <f ca="1">IFERROR(INDEX(FORPTB13!$N$4:$N$580,_xlfn.AGGREGATE(15,6,(ROW(FORPTB13!$B$4:$B$580)-ROW(FORPTB13!#REF!)+1)/((FORPTB13!$B$4:$B$580=$B$5)),ROW(FORPTB13!#REF!))),"")</f>
        <v/>
      </c>
      <c r="L63" s="42" t="str">
        <f t="shared" ca="1" si="1"/>
        <v xml:space="preserve">  </v>
      </c>
      <c r="M63" s="43" t="str">
        <f ca="1">IFERROR(INDEX(FORPTB13!$L$4:$L$580,_xlfn.AGGREGATE(15,6,(ROW(FORPTB13!$B$4:$B$580)-ROW(FORPTB13!#REF!)+1)/((FORPTB13!$B$4:$B$580=$B$5)),ROW(FORPTB13!#REF!))),"")</f>
        <v/>
      </c>
      <c r="N63" s="41" t="str">
        <f ca="1">IFERROR(INDEX(FORPTB13!$M$4:$M$580,_xlfn.AGGREGATE(15,6,(ROW(FORPTB13!$B$4:$B$580)-ROW(FORPTB13!#REF!)+1)/((FORPTB13!$B$4:$B$580=$B$5)),ROW(FORPTB13!#REF!))),"")</f>
        <v/>
      </c>
    </row>
    <row r="64" spans="4:14" ht="16.8" x14ac:dyDescent="0.4">
      <c r="D64" s="44" t="str">
        <f t="shared" ca="1" si="2"/>
        <v/>
      </c>
      <c r="E64" s="44" t="str">
        <f ca="1">IFERROR(INDEX(FORPTB13!$F$4:$F$580,_xlfn.AGGREGATE(15,6,(ROW(FORPTB13!$B$4:$B$580)-ROW(FORPTB13!#REF!)+1)/((FORPTB13!$B$4:$B$580=$B$5)),ROW(FORPTB13!#REF!))),"")</f>
        <v/>
      </c>
      <c r="F64" s="44" t="str">
        <f ca="1">IFERROR(INDEX(FORPTB13!$H$4:$H$580,_xlfn.AGGREGATE(15,6,(ROW(FORPTB13!$B$4:$B$580)-ROW(FORPTB13!#REF!)+1)/((FORPTB13!$B$4:$B$580=$B$5)),ROW(FORPTB13!#REF!))),"")</f>
        <v/>
      </c>
      <c r="G64" s="44" t="str">
        <f ca="1">IFERROR(INDEX(FORPTB13!$J$4:$J$580,_xlfn.AGGREGATE(15,6,(ROW(FORPTB13!$B$4:$B$580)-ROW(FORPTB13!#REF!)+1)/((FORPTB13!$B$4:$B$580=$B$5)),ROW(FORPTB13!#REF!))),"")</f>
        <v/>
      </c>
      <c r="H64" s="44" t="str">
        <f ca="1">IFERROR(INDEX(FORPTB13!$K$4:$K$580,_xlfn.AGGREGATE(15,6,(ROW(FORPTB13!$B$4:$B$580)-ROW(FORPTB13!#REF!)+1)/((FORPTB13!$B$4:$B$580=$B$5)),ROW(FORPTB13!#REF!))),"")</f>
        <v/>
      </c>
      <c r="I64" s="44" t="str">
        <f ca="1">IFERROR(INDEX(FORPTB13!$T$4:$T$580,_xlfn.AGGREGATE(15,6,(ROW(FORPTB13!$B$4:$B$580)-ROW(FORPTB13!#REF!)+1)/((FORPTB13!$B$4:$B$580=$B$5)),ROW(FORPTB13!#REF!))),"")</f>
        <v/>
      </c>
      <c r="J64" s="46" t="str">
        <f ca="1">IFERROR(INDEX(FORPTB13!$I$4:$I$580,_xlfn.AGGREGATE(15,6,(ROW(FORPTB13!$B$4:$B$580)-ROW(FORPTB13!#REF!)+1)/((FORPTB13!$B$4:$B$580=$B$5)),ROW(FORPTB13!#REF!))),"")</f>
        <v/>
      </c>
      <c r="K64" s="45" t="str">
        <f ca="1">IFERROR(INDEX(FORPTB13!$N$4:$N$580,_xlfn.AGGREGATE(15,6,(ROW(FORPTB13!$B$4:$B$580)-ROW(FORPTB13!#REF!)+1)/((FORPTB13!$B$4:$B$580=$B$5)),ROW(FORPTB13!#REF!))),"")</f>
        <v/>
      </c>
      <c r="L64" s="45" t="str">
        <f t="shared" ca="1" si="1"/>
        <v xml:space="preserve">  </v>
      </c>
      <c r="M64" s="46" t="str">
        <f ca="1">IFERROR(INDEX(FORPTB13!$L$4:$L$580,_xlfn.AGGREGATE(15,6,(ROW(FORPTB13!$B$4:$B$580)-ROW(FORPTB13!#REF!)+1)/((FORPTB13!$B$4:$B$580=$B$5)),ROW(FORPTB13!#REF!))),"")</f>
        <v/>
      </c>
      <c r="N64" s="44" t="str">
        <f ca="1">IFERROR(INDEX(FORPTB13!$M$4:$M$580,_xlfn.AGGREGATE(15,6,(ROW(FORPTB13!$B$4:$B$580)-ROW(FORPTB13!#REF!)+1)/((FORPTB13!$B$4:$B$580=$B$5)),ROW(FORPTB13!#REF!))),"")</f>
        <v/>
      </c>
    </row>
    <row r="65" spans="4:14" ht="16.8" x14ac:dyDescent="0.4">
      <c r="D65" s="41" t="str">
        <f t="shared" ca="1" si="2"/>
        <v/>
      </c>
      <c r="E65" s="41" t="str">
        <f ca="1">IFERROR(INDEX(FORPTB13!$F$4:$F$580,_xlfn.AGGREGATE(15,6,(ROW(FORPTB13!$B$4:$B$580)-ROW(FORPTB13!#REF!)+1)/((FORPTB13!$B$4:$B$580=$B$5)),ROW(FORPTB13!#REF!))),"")</f>
        <v/>
      </c>
      <c r="F65" s="47" t="str">
        <f ca="1">IFERROR(INDEX(FORPTB13!$H$4:$H$580,_xlfn.AGGREGATE(15,6,(ROW(FORPTB13!$B$4:$B$580)-ROW(FORPTB13!#REF!)+1)/((FORPTB13!$B$4:$B$580=$B$5)),ROW(FORPTB13!#REF!))),"")</f>
        <v/>
      </c>
      <c r="G65" s="41" t="str">
        <f ca="1">IFERROR(INDEX(FORPTB13!$J$4:$J$580,_xlfn.AGGREGATE(15,6,(ROW(FORPTB13!$B$4:$B$580)-ROW(FORPTB13!#REF!)+1)/((FORPTB13!$B$4:$B$580=$B$5)),ROW(FORPTB13!#REF!))),"")</f>
        <v/>
      </c>
      <c r="H65" s="41" t="str">
        <f ca="1">IFERROR(INDEX(FORPTB13!$K$4:$K$580,_xlfn.AGGREGATE(15,6,(ROW(FORPTB13!$B$4:$B$580)-ROW(FORPTB13!#REF!)+1)/((FORPTB13!$B$4:$B$580=$B$5)),ROW(FORPTB13!#REF!))),"")</f>
        <v/>
      </c>
      <c r="I65" s="41" t="str">
        <f ca="1">IFERROR(INDEX(FORPTB13!$T$4:$T$580,_xlfn.AGGREGATE(15,6,(ROW(FORPTB13!$B$4:$B$580)-ROW(FORPTB13!#REF!)+1)/((FORPTB13!$B$4:$B$580=$B$5)),ROW(FORPTB13!#REF!))),"")</f>
        <v/>
      </c>
      <c r="J65" s="43" t="str">
        <f ca="1">IFERROR(INDEX(FORPTB13!$I$4:$I$580,_xlfn.AGGREGATE(15,6,(ROW(FORPTB13!$B$4:$B$580)-ROW(FORPTB13!#REF!)+1)/((FORPTB13!$B$4:$B$580=$B$5)),ROW(FORPTB13!#REF!))),"")</f>
        <v/>
      </c>
      <c r="K65" s="42" t="str">
        <f ca="1">IFERROR(INDEX(FORPTB13!$N$4:$N$580,_xlfn.AGGREGATE(15,6,(ROW(FORPTB13!$B$4:$B$580)-ROW(FORPTB13!#REF!)+1)/((FORPTB13!$B$4:$B$580=$B$5)),ROW(FORPTB13!#REF!))),"")</f>
        <v/>
      </c>
      <c r="L65" s="42" t="str">
        <f t="shared" ca="1" si="1"/>
        <v xml:space="preserve">  </v>
      </c>
      <c r="M65" s="43" t="str">
        <f ca="1">IFERROR(INDEX(FORPTB13!$L$4:$L$580,_xlfn.AGGREGATE(15,6,(ROW(FORPTB13!$B$4:$B$580)-ROW(FORPTB13!#REF!)+1)/((FORPTB13!$B$4:$B$580=$B$5)),ROW(FORPTB13!#REF!))),"")</f>
        <v/>
      </c>
      <c r="N65" s="41" t="str">
        <f ca="1">IFERROR(INDEX(FORPTB13!$M$4:$M$580,_xlfn.AGGREGATE(15,6,(ROW(FORPTB13!$B$4:$B$580)-ROW(FORPTB13!#REF!)+1)/((FORPTB13!$B$4:$B$580=$B$5)),ROW(FORPTB13!#REF!))),"")</f>
        <v/>
      </c>
    </row>
    <row r="66" spans="4:14" ht="16.8" x14ac:dyDescent="0.4">
      <c r="D66" s="44" t="str">
        <f t="shared" ca="1" si="2"/>
        <v/>
      </c>
      <c r="E66" s="44" t="str">
        <f ca="1">IFERROR(INDEX(FORPTB13!$F$4:$F$580,_xlfn.AGGREGATE(15,6,(ROW(FORPTB13!$B$4:$B$580)-ROW(FORPTB13!#REF!)+1)/((FORPTB13!$B$4:$B$580=$B$5)),ROW(FORPTB13!#REF!))),"")</f>
        <v/>
      </c>
      <c r="F66" s="44" t="str">
        <f ca="1">IFERROR(INDEX(FORPTB13!$H$4:$H$580,_xlfn.AGGREGATE(15,6,(ROW(FORPTB13!$B$4:$B$580)-ROW(FORPTB13!#REF!)+1)/((FORPTB13!$B$4:$B$580=$B$5)),ROW(FORPTB13!#REF!))),"")</f>
        <v/>
      </c>
      <c r="G66" s="44" t="str">
        <f ca="1">IFERROR(INDEX(FORPTB13!$J$4:$J$580,_xlfn.AGGREGATE(15,6,(ROW(FORPTB13!$B$4:$B$580)-ROW(FORPTB13!#REF!)+1)/((FORPTB13!$B$4:$B$580=$B$5)),ROW(FORPTB13!#REF!))),"")</f>
        <v/>
      </c>
      <c r="H66" s="44" t="str">
        <f ca="1">IFERROR(INDEX(FORPTB13!$K$4:$K$580,_xlfn.AGGREGATE(15,6,(ROW(FORPTB13!$B$4:$B$580)-ROW(FORPTB13!#REF!)+1)/((FORPTB13!$B$4:$B$580=$B$5)),ROW(FORPTB13!#REF!))),"")</f>
        <v/>
      </c>
      <c r="I66" s="44" t="str">
        <f ca="1">IFERROR(INDEX(FORPTB13!$T$4:$T$580,_xlfn.AGGREGATE(15,6,(ROW(FORPTB13!$B$4:$B$580)-ROW(FORPTB13!#REF!)+1)/((FORPTB13!$B$4:$B$580=$B$5)),ROW(FORPTB13!#REF!))),"")</f>
        <v/>
      </c>
      <c r="J66" s="46" t="str">
        <f ca="1">IFERROR(INDEX(FORPTB13!$I$4:$I$580,_xlfn.AGGREGATE(15,6,(ROW(FORPTB13!$B$4:$B$580)-ROW(FORPTB13!#REF!)+1)/((FORPTB13!$B$4:$B$580=$B$5)),ROW(FORPTB13!#REF!))),"")</f>
        <v/>
      </c>
      <c r="K66" s="45" t="str">
        <f ca="1">IFERROR(INDEX(FORPTB13!$N$4:$N$580,_xlfn.AGGREGATE(15,6,(ROW(FORPTB13!$B$4:$B$580)-ROW(FORPTB13!#REF!)+1)/((FORPTB13!$B$4:$B$580=$B$5)),ROW(FORPTB13!#REF!))),"")</f>
        <v/>
      </c>
      <c r="L66" s="45" t="str">
        <f t="shared" ca="1" si="1"/>
        <v xml:space="preserve">  </v>
      </c>
      <c r="M66" s="46" t="str">
        <f ca="1">IFERROR(INDEX(FORPTB13!$L$4:$L$580,_xlfn.AGGREGATE(15,6,(ROW(FORPTB13!$B$4:$B$580)-ROW(FORPTB13!#REF!)+1)/((FORPTB13!$B$4:$B$580=$B$5)),ROW(FORPTB13!#REF!))),"")</f>
        <v/>
      </c>
      <c r="N66" s="44" t="str">
        <f ca="1">IFERROR(INDEX(FORPTB13!$M$4:$M$580,_xlfn.AGGREGATE(15,6,(ROW(FORPTB13!$B$4:$B$580)-ROW(FORPTB13!#REF!)+1)/((FORPTB13!$B$4:$B$580=$B$5)),ROW(FORPTB13!#REF!))),"")</f>
        <v/>
      </c>
    </row>
    <row r="67" spans="4:14" ht="16.8" x14ac:dyDescent="0.4">
      <c r="D67" s="41" t="str">
        <f t="shared" ca="1" si="2"/>
        <v/>
      </c>
      <c r="E67" s="41" t="str">
        <f ca="1">IFERROR(INDEX(FORPTB13!$F$4:$F$580,_xlfn.AGGREGATE(15,6,(ROW(FORPTB13!$B$4:$B$580)-ROW(FORPTB13!#REF!)+1)/((FORPTB13!$B$4:$B$580=$B$5)),ROW(FORPTB13!#REF!))),"")</f>
        <v/>
      </c>
      <c r="F67" s="47" t="str">
        <f ca="1">IFERROR(INDEX(FORPTB13!$H$4:$H$580,_xlfn.AGGREGATE(15,6,(ROW(FORPTB13!$B$4:$B$580)-ROW(FORPTB13!#REF!)+1)/((FORPTB13!$B$4:$B$580=$B$5)),ROW(FORPTB13!#REF!))),"")</f>
        <v/>
      </c>
      <c r="G67" s="41" t="str">
        <f ca="1">IFERROR(INDEX(FORPTB13!$J$4:$J$580,_xlfn.AGGREGATE(15,6,(ROW(FORPTB13!$B$4:$B$580)-ROW(FORPTB13!#REF!)+1)/((FORPTB13!$B$4:$B$580=$B$5)),ROW(FORPTB13!#REF!))),"")</f>
        <v/>
      </c>
      <c r="H67" s="41" t="str">
        <f ca="1">IFERROR(INDEX(FORPTB13!$K$4:$K$580,_xlfn.AGGREGATE(15,6,(ROW(FORPTB13!$B$4:$B$580)-ROW(FORPTB13!#REF!)+1)/((FORPTB13!$B$4:$B$580=$B$5)),ROW(FORPTB13!#REF!))),"")</f>
        <v/>
      </c>
      <c r="I67" s="41" t="str">
        <f ca="1">IFERROR(INDEX(FORPTB13!$T$4:$T$580,_xlfn.AGGREGATE(15,6,(ROW(FORPTB13!$B$4:$B$580)-ROW(FORPTB13!#REF!)+1)/((FORPTB13!$B$4:$B$580=$B$5)),ROW(FORPTB13!#REF!))),"")</f>
        <v/>
      </c>
      <c r="J67" s="43" t="str">
        <f ca="1">IFERROR(INDEX(FORPTB13!$I$4:$I$580,_xlfn.AGGREGATE(15,6,(ROW(FORPTB13!$B$4:$B$580)-ROW(FORPTB13!#REF!)+1)/((FORPTB13!$B$4:$B$580=$B$5)),ROW(FORPTB13!#REF!))),"")</f>
        <v/>
      </c>
      <c r="K67" s="42" t="str">
        <f ca="1">IFERROR(INDEX(FORPTB13!$N$4:$N$580,_xlfn.AGGREGATE(15,6,(ROW(FORPTB13!$B$4:$B$580)-ROW(FORPTB13!#REF!)+1)/((FORPTB13!$B$4:$B$580=$B$5)),ROW(FORPTB13!#REF!))),"")</f>
        <v/>
      </c>
      <c r="L67" s="42" t="str">
        <f t="shared" ca="1" si="1"/>
        <v xml:space="preserve">  </v>
      </c>
      <c r="M67" s="43" t="str">
        <f ca="1">IFERROR(INDEX(FORPTB13!$L$4:$L$580,_xlfn.AGGREGATE(15,6,(ROW(FORPTB13!$B$4:$B$580)-ROW(FORPTB13!#REF!)+1)/((FORPTB13!$B$4:$B$580=$B$5)),ROW(FORPTB13!#REF!))),"")</f>
        <v/>
      </c>
      <c r="N67" s="41" t="str">
        <f ca="1">IFERROR(INDEX(FORPTB13!$M$4:$M$580,_xlfn.AGGREGATE(15,6,(ROW(FORPTB13!$B$4:$B$580)-ROW(FORPTB13!#REF!)+1)/((FORPTB13!$B$4:$B$580=$B$5)),ROW(FORPTB13!#REF!))),"")</f>
        <v/>
      </c>
    </row>
    <row r="68" spans="4:14" ht="16.8" x14ac:dyDescent="0.4">
      <c r="D68" s="44" t="str">
        <f t="shared" ca="1" si="2"/>
        <v/>
      </c>
      <c r="E68" s="44" t="str">
        <f ca="1">IFERROR(INDEX(FORPTB13!$F$4:$F$580,_xlfn.AGGREGATE(15,6,(ROW(FORPTB13!$B$4:$B$580)-ROW(FORPTB13!#REF!)+1)/((FORPTB13!$B$4:$B$580=$B$5)),ROW(FORPTB13!#REF!))),"")</f>
        <v/>
      </c>
      <c r="F68" s="44" t="str">
        <f ca="1">IFERROR(INDEX(FORPTB13!$H$4:$H$580,_xlfn.AGGREGATE(15,6,(ROW(FORPTB13!$B$4:$B$580)-ROW(FORPTB13!#REF!)+1)/((FORPTB13!$B$4:$B$580=$B$5)),ROW(FORPTB13!#REF!))),"")</f>
        <v/>
      </c>
      <c r="G68" s="44" t="str">
        <f ca="1">IFERROR(INDEX(FORPTB13!$J$4:$J$580,_xlfn.AGGREGATE(15,6,(ROW(FORPTB13!$B$4:$B$580)-ROW(FORPTB13!#REF!)+1)/((FORPTB13!$B$4:$B$580=$B$5)),ROW(FORPTB13!#REF!))),"")</f>
        <v/>
      </c>
      <c r="H68" s="44" t="str">
        <f ca="1">IFERROR(INDEX(FORPTB13!$K$4:$K$580,_xlfn.AGGREGATE(15,6,(ROW(FORPTB13!$B$4:$B$580)-ROW(FORPTB13!#REF!)+1)/((FORPTB13!$B$4:$B$580=$B$5)),ROW(FORPTB13!#REF!))),"")</f>
        <v/>
      </c>
      <c r="I68" s="44" t="str">
        <f ca="1">IFERROR(INDEX(FORPTB13!$T$4:$T$580,_xlfn.AGGREGATE(15,6,(ROW(FORPTB13!$B$4:$B$580)-ROW(FORPTB13!#REF!)+1)/((FORPTB13!$B$4:$B$580=$B$5)),ROW(FORPTB13!#REF!))),"")</f>
        <v/>
      </c>
      <c r="J68" s="46" t="str">
        <f ca="1">IFERROR(INDEX(FORPTB13!$I$4:$I$580,_xlfn.AGGREGATE(15,6,(ROW(FORPTB13!$B$4:$B$580)-ROW(FORPTB13!#REF!)+1)/((FORPTB13!$B$4:$B$580=$B$5)),ROW(FORPTB13!#REF!))),"")</f>
        <v/>
      </c>
      <c r="K68" s="45" t="str">
        <f ca="1">IFERROR(INDEX(FORPTB13!$N$4:$N$580,_xlfn.AGGREGATE(15,6,(ROW(FORPTB13!$B$4:$B$580)-ROW(FORPTB13!#REF!)+1)/((FORPTB13!$B$4:$B$580=$B$5)),ROW(FORPTB13!#REF!))),"")</f>
        <v/>
      </c>
      <c r="L68" s="45" t="str">
        <f t="shared" ca="1" si="1"/>
        <v xml:space="preserve">  </v>
      </c>
      <c r="M68" s="46" t="str">
        <f ca="1">IFERROR(INDEX(FORPTB13!$L$4:$L$580,_xlfn.AGGREGATE(15,6,(ROW(FORPTB13!$B$4:$B$580)-ROW(FORPTB13!#REF!)+1)/((FORPTB13!$B$4:$B$580=$B$5)),ROW(FORPTB13!#REF!))),"")</f>
        <v/>
      </c>
      <c r="N68" s="44" t="str">
        <f ca="1">IFERROR(INDEX(FORPTB13!$M$4:$M$580,_xlfn.AGGREGATE(15,6,(ROW(FORPTB13!$B$4:$B$580)-ROW(FORPTB13!#REF!)+1)/((FORPTB13!$B$4:$B$580=$B$5)),ROW(FORPTB13!#REF!))),"")</f>
        <v/>
      </c>
    </row>
    <row r="69" spans="4:14" ht="16.8" x14ac:dyDescent="0.4">
      <c r="D69" s="41" t="str">
        <f t="shared" ca="1" si="2"/>
        <v/>
      </c>
      <c r="E69" s="41" t="str">
        <f ca="1">IFERROR(INDEX(FORPTB13!$F$4:$F$580,_xlfn.AGGREGATE(15,6,(ROW(FORPTB13!$B$4:$B$580)-ROW(FORPTB13!#REF!)+1)/((FORPTB13!$B$4:$B$580=$B$5)),ROW(FORPTB13!#REF!))),"")</f>
        <v/>
      </c>
      <c r="F69" s="47" t="str">
        <f ca="1">IFERROR(INDEX(FORPTB13!$H$4:$H$580,_xlfn.AGGREGATE(15,6,(ROW(FORPTB13!$B$4:$B$580)-ROW(FORPTB13!#REF!)+1)/((FORPTB13!$B$4:$B$580=$B$5)),ROW(FORPTB13!#REF!))),"")</f>
        <v/>
      </c>
      <c r="G69" s="41" t="str">
        <f ca="1">IFERROR(INDEX(FORPTB13!$J$4:$J$580,_xlfn.AGGREGATE(15,6,(ROW(FORPTB13!$B$4:$B$580)-ROW(FORPTB13!#REF!)+1)/((FORPTB13!$B$4:$B$580=$B$5)),ROW(FORPTB13!#REF!))),"")</f>
        <v/>
      </c>
      <c r="H69" s="41" t="str">
        <f ca="1">IFERROR(INDEX(FORPTB13!$K$4:$K$580,_xlfn.AGGREGATE(15,6,(ROW(FORPTB13!$B$4:$B$580)-ROW(FORPTB13!#REF!)+1)/((FORPTB13!$B$4:$B$580=$B$5)),ROW(FORPTB13!#REF!))),"")</f>
        <v/>
      </c>
      <c r="I69" s="41" t="str">
        <f ca="1">IFERROR(INDEX(FORPTB13!$T$4:$T$580,_xlfn.AGGREGATE(15,6,(ROW(FORPTB13!$B$4:$B$580)-ROW(FORPTB13!#REF!)+1)/((FORPTB13!$B$4:$B$580=$B$5)),ROW(FORPTB13!#REF!))),"")</f>
        <v/>
      </c>
      <c r="J69" s="43" t="str">
        <f ca="1">IFERROR(INDEX(FORPTB13!$I$4:$I$580,_xlfn.AGGREGATE(15,6,(ROW(FORPTB13!$B$4:$B$580)-ROW(FORPTB13!#REF!)+1)/((FORPTB13!$B$4:$B$580=$B$5)),ROW(FORPTB13!#REF!))),"")</f>
        <v/>
      </c>
      <c r="K69" s="42" t="str">
        <f ca="1">IFERROR(INDEX(FORPTB13!$N$4:$N$580,_xlfn.AGGREGATE(15,6,(ROW(FORPTB13!$B$4:$B$580)-ROW(FORPTB13!#REF!)+1)/((FORPTB13!$B$4:$B$580=$B$5)),ROW(FORPTB13!#REF!))),"")</f>
        <v/>
      </c>
      <c r="L69" s="42" t="str">
        <f t="shared" ca="1" si="1"/>
        <v xml:space="preserve">  </v>
      </c>
      <c r="M69" s="43" t="str">
        <f ca="1">IFERROR(INDEX(FORPTB13!$L$4:$L$580,_xlfn.AGGREGATE(15,6,(ROW(FORPTB13!$B$4:$B$580)-ROW(FORPTB13!#REF!)+1)/((FORPTB13!$B$4:$B$580=$B$5)),ROW(FORPTB13!#REF!))),"")</f>
        <v/>
      </c>
      <c r="N69" s="41" t="str">
        <f ca="1">IFERROR(INDEX(FORPTB13!$M$4:$M$580,_xlfn.AGGREGATE(15,6,(ROW(FORPTB13!$B$4:$B$580)-ROW(FORPTB13!#REF!)+1)/((FORPTB13!$B$4:$B$580=$B$5)),ROW(FORPTB13!#REF!))),"")</f>
        <v/>
      </c>
    </row>
    <row r="70" spans="4:14" ht="16.8" x14ac:dyDescent="0.4">
      <c r="D70" s="44" t="str">
        <f t="shared" ca="1" si="2"/>
        <v/>
      </c>
      <c r="E70" s="44" t="str">
        <f ca="1">IFERROR(INDEX(FORPTB13!$F$4:$F$580,_xlfn.AGGREGATE(15,6,(ROW(FORPTB13!$B$4:$B$580)-ROW(FORPTB13!#REF!)+1)/((FORPTB13!$B$4:$B$580=$B$5)),ROW(FORPTB13!#REF!))),"")</f>
        <v/>
      </c>
      <c r="F70" s="44" t="str">
        <f ca="1">IFERROR(INDEX(FORPTB13!$H$4:$H$580,_xlfn.AGGREGATE(15,6,(ROW(FORPTB13!$B$4:$B$580)-ROW(FORPTB13!#REF!)+1)/((FORPTB13!$B$4:$B$580=$B$5)),ROW(FORPTB13!#REF!))),"")</f>
        <v/>
      </c>
      <c r="G70" s="44" t="str">
        <f ca="1">IFERROR(INDEX(FORPTB13!$J$4:$J$580,_xlfn.AGGREGATE(15,6,(ROW(FORPTB13!$B$4:$B$580)-ROW(FORPTB13!#REF!)+1)/((FORPTB13!$B$4:$B$580=$B$5)),ROW(FORPTB13!#REF!))),"")</f>
        <v/>
      </c>
      <c r="H70" s="44" t="str">
        <f ca="1">IFERROR(INDEX(FORPTB13!$K$4:$K$580,_xlfn.AGGREGATE(15,6,(ROW(FORPTB13!$B$4:$B$580)-ROW(FORPTB13!#REF!)+1)/((FORPTB13!$B$4:$B$580=$B$5)),ROW(FORPTB13!#REF!))),"")</f>
        <v/>
      </c>
      <c r="I70" s="44" t="str">
        <f ca="1">IFERROR(INDEX(FORPTB13!$T$4:$T$580,_xlfn.AGGREGATE(15,6,(ROW(FORPTB13!$B$4:$B$580)-ROW(FORPTB13!#REF!)+1)/((FORPTB13!$B$4:$B$580=$B$5)),ROW(FORPTB13!#REF!))),"")</f>
        <v/>
      </c>
      <c r="J70" s="46" t="str">
        <f ca="1">IFERROR(INDEX(FORPTB13!$I$4:$I$580,_xlfn.AGGREGATE(15,6,(ROW(FORPTB13!$B$4:$B$580)-ROW(FORPTB13!#REF!)+1)/((FORPTB13!$B$4:$B$580=$B$5)),ROW(FORPTB13!#REF!))),"")</f>
        <v/>
      </c>
      <c r="K70" s="45" t="str">
        <f ca="1">IFERROR(INDEX(FORPTB13!$N$4:$N$580,_xlfn.AGGREGATE(15,6,(ROW(FORPTB13!$B$4:$B$580)-ROW(FORPTB13!#REF!)+1)/((FORPTB13!$B$4:$B$580=$B$5)),ROW(FORPTB13!#REF!))),"")</f>
        <v/>
      </c>
      <c r="L70" s="45" t="str">
        <f t="shared" ca="1" si="1"/>
        <v xml:space="preserve">  </v>
      </c>
      <c r="M70" s="46" t="str">
        <f ca="1">IFERROR(INDEX(FORPTB13!$L$4:$L$580,_xlfn.AGGREGATE(15,6,(ROW(FORPTB13!$B$4:$B$580)-ROW(FORPTB13!#REF!)+1)/((FORPTB13!$B$4:$B$580=$B$5)),ROW(FORPTB13!#REF!))),"")</f>
        <v/>
      </c>
      <c r="N70" s="44" t="str">
        <f ca="1">IFERROR(INDEX(FORPTB13!$M$4:$M$580,_xlfn.AGGREGATE(15,6,(ROW(FORPTB13!$B$4:$B$580)-ROW(FORPTB13!#REF!)+1)/((FORPTB13!$B$4:$B$580=$B$5)),ROW(FORPTB13!#REF!))),"")</f>
        <v/>
      </c>
    </row>
    <row r="71" spans="4:14" ht="16.8" x14ac:dyDescent="0.4">
      <c r="D71" s="41" t="str">
        <f t="shared" ca="1" si="2"/>
        <v/>
      </c>
      <c r="E71" s="41" t="str">
        <f ca="1">IFERROR(INDEX(FORPTB13!$F$4:$F$580,_xlfn.AGGREGATE(15,6,(ROW(FORPTB13!$B$4:$B$580)-ROW(FORPTB13!#REF!)+1)/((FORPTB13!$B$4:$B$580=$B$5)),ROW(FORPTB13!#REF!))),"")</f>
        <v/>
      </c>
      <c r="F71" s="47" t="str">
        <f ca="1">IFERROR(INDEX(FORPTB13!$H$4:$H$580,_xlfn.AGGREGATE(15,6,(ROW(FORPTB13!$B$4:$B$580)-ROW(FORPTB13!#REF!)+1)/((FORPTB13!$B$4:$B$580=$B$5)),ROW(FORPTB13!#REF!))),"")</f>
        <v/>
      </c>
      <c r="G71" s="41" t="str">
        <f ca="1">IFERROR(INDEX(FORPTB13!$J$4:$J$580,_xlfn.AGGREGATE(15,6,(ROW(FORPTB13!$B$4:$B$580)-ROW(FORPTB13!#REF!)+1)/((FORPTB13!$B$4:$B$580=$B$5)),ROW(FORPTB13!#REF!))),"")</f>
        <v/>
      </c>
      <c r="H71" s="41" t="str">
        <f ca="1">IFERROR(INDEX(FORPTB13!$K$4:$K$580,_xlfn.AGGREGATE(15,6,(ROW(FORPTB13!$B$4:$B$580)-ROW(FORPTB13!#REF!)+1)/((FORPTB13!$B$4:$B$580=$B$5)),ROW(FORPTB13!#REF!))),"")</f>
        <v/>
      </c>
      <c r="I71" s="41" t="str">
        <f ca="1">IFERROR(INDEX(FORPTB13!$T$4:$T$580,_xlfn.AGGREGATE(15,6,(ROW(FORPTB13!$B$4:$B$580)-ROW(FORPTB13!#REF!)+1)/((FORPTB13!$B$4:$B$580=$B$5)),ROW(FORPTB13!#REF!))),"")</f>
        <v/>
      </c>
      <c r="J71" s="43" t="str">
        <f ca="1">IFERROR(INDEX(FORPTB13!$I$4:$I$580,_xlfn.AGGREGATE(15,6,(ROW(FORPTB13!$B$4:$B$580)-ROW(FORPTB13!#REF!)+1)/((FORPTB13!$B$4:$B$580=$B$5)),ROW(FORPTB13!#REF!))),"")</f>
        <v/>
      </c>
      <c r="K71" s="42" t="str">
        <f ca="1">IFERROR(INDEX(FORPTB13!$N$4:$N$580,_xlfn.AGGREGATE(15,6,(ROW(FORPTB13!$B$4:$B$580)-ROW(FORPTB13!#REF!)+1)/((FORPTB13!$B$4:$B$580=$B$5)),ROW(FORPTB13!#REF!))),"")</f>
        <v/>
      </c>
      <c r="L71" s="42" t="str">
        <f t="shared" ca="1" si="1"/>
        <v xml:space="preserve">  </v>
      </c>
      <c r="M71" s="43" t="str">
        <f ca="1">IFERROR(INDEX(FORPTB13!$L$4:$L$580,_xlfn.AGGREGATE(15,6,(ROW(FORPTB13!$B$4:$B$580)-ROW(FORPTB13!#REF!)+1)/((FORPTB13!$B$4:$B$580=$B$5)),ROW(FORPTB13!#REF!))),"")</f>
        <v/>
      </c>
      <c r="N71" s="41" t="str">
        <f ca="1">IFERROR(INDEX(FORPTB13!$M$4:$M$580,_xlfn.AGGREGATE(15,6,(ROW(FORPTB13!$B$4:$B$580)-ROW(FORPTB13!#REF!)+1)/((FORPTB13!$B$4:$B$580=$B$5)),ROW(FORPTB13!#REF!))),"")</f>
        <v/>
      </c>
    </row>
    <row r="72" spans="4:14" ht="16.8" x14ac:dyDescent="0.4">
      <c r="D72" s="44" t="str">
        <f t="shared" ref="D72:D100" ca="1" si="3">IF(D71="","",D71+1)</f>
        <v/>
      </c>
      <c r="E72" s="44" t="str">
        <f ca="1">IFERROR(INDEX(FORPTB13!$F$4:$F$580,_xlfn.AGGREGATE(15,6,(ROW(FORPTB13!$B$4:$B$580)-ROW(FORPTB13!#REF!)+1)/((FORPTB13!$B$4:$B$580=$B$5)),ROW(FORPTB13!#REF!))),"")</f>
        <v/>
      </c>
      <c r="F72" s="44" t="str">
        <f ca="1">IFERROR(INDEX(FORPTB13!$H$4:$H$580,_xlfn.AGGREGATE(15,6,(ROW(FORPTB13!$B$4:$B$580)-ROW(FORPTB13!#REF!)+1)/((FORPTB13!$B$4:$B$580=$B$5)),ROW(FORPTB13!#REF!))),"")</f>
        <v/>
      </c>
      <c r="G72" s="44" t="str">
        <f ca="1">IFERROR(INDEX(FORPTB13!$J$4:$J$580,_xlfn.AGGREGATE(15,6,(ROW(FORPTB13!$B$4:$B$580)-ROW(FORPTB13!#REF!)+1)/((FORPTB13!$B$4:$B$580=$B$5)),ROW(FORPTB13!#REF!))),"")</f>
        <v/>
      </c>
      <c r="H72" s="44" t="str">
        <f ca="1">IFERROR(INDEX(FORPTB13!$K$4:$K$580,_xlfn.AGGREGATE(15,6,(ROW(FORPTB13!$B$4:$B$580)-ROW(FORPTB13!#REF!)+1)/((FORPTB13!$B$4:$B$580=$B$5)),ROW(FORPTB13!#REF!))),"")</f>
        <v/>
      </c>
      <c r="I72" s="44" t="str">
        <f ca="1">IFERROR(INDEX(FORPTB13!$T$4:$T$580,_xlfn.AGGREGATE(15,6,(ROW(FORPTB13!$B$4:$B$580)-ROW(FORPTB13!#REF!)+1)/((FORPTB13!$B$4:$B$580=$B$5)),ROW(FORPTB13!#REF!))),"")</f>
        <v/>
      </c>
      <c r="J72" s="46" t="str">
        <f ca="1">IFERROR(INDEX(FORPTB13!$I$4:$I$580,_xlfn.AGGREGATE(15,6,(ROW(FORPTB13!$B$4:$B$580)-ROW(FORPTB13!#REF!)+1)/((FORPTB13!$B$4:$B$580=$B$5)),ROW(FORPTB13!#REF!))),"")</f>
        <v/>
      </c>
      <c r="K72" s="45" t="str">
        <f ca="1">IFERROR(INDEX(FORPTB13!$N$4:$N$580,_xlfn.AGGREGATE(15,6,(ROW(FORPTB13!$B$4:$B$580)-ROW(FORPTB13!#REF!)+1)/((FORPTB13!$B$4:$B$580=$B$5)),ROW(FORPTB13!#REF!))),"")</f>
        <v/>
      </c>
      <c r="L72" s="45" t="str">
        <f t="shared" ref="L72:L100" ca="1" si="4">IFERROR(J72*K72,"  ")</f>
        <v xml:space="preserve">  </v>
      </c>
      <c r="M72" s="46" t="str">
        <f ca="1">IFERROR(INDEX(FORPTB13!$L$4:$L$580,_xlfn.AGGREGATE(15,6,(ROW(FORPTB13!$B$4:$B$580)-ROW(FORPTB13!#REF!)+1)/((FORPTB13!$B$4:$B$580=$B$5)),ROW(FORPTB13!#REF!))),"")</f>
        <v/>
      </c>
      <c r="N72" s="44" t="str">
        <f ca="1">IFERROR(INDEX(FORPTB13!$M$4:$M$580,_xlfn.AGGREGATE(15,6,(ROW(FORPTB13!$B$4:$B$580)-ROW(FORPTB13!#REF!)+1)/((FORPTB13!$B$4:$B$580=$B$5)),ROW(FORPTB13!#REF!))),"")</f>
        <v/>
      </c>
    </row>
    <row r="73" spans="4:14" ht="16.8" x14ac:dyDescent="0.4">
      <c r="D73" s="41" t="str">
        <f t="shared" ca="1" si="3"/>
        <v/>
      </c>
      <c r="E73" s="41" t="str">
        <f ca="1">IFERROR(INDEX(FORPTB13!$F$4:$F$580,_xlfn.AGGREGATE(15,6,(ROW(FORPTB13!$B$4:$B$580)-ROW(FORPTB13!#REF!)+1)/((FORPTB13!$B$4:$B$580=$B$5)),ROW(FORPTB13!#REF!))),"")</f>
        <v/>
      </c>
      <c r="F73" s="47" t="str">
        <f ca="1">IFERROR(INDEX(FORPTB13!$H$4:$H$580,_xlfn.AGGREGATE(15,6,(ROW(FORPTB13!$B$4:$B$580)-ROW(FORPTB13!#REF!)+1)/((FORPTB13!$B$4:$B$580=$B$5)),ROW(FORPTB13!#REF!))),"")</f>
        <v/>
      </c>
      <c r="G73" s="41" t="str">
        <f ca="1">IFERROR(INDEX(FORPTB13!$J$4:$J$580,_xlfn.AGGREGATE(15,6,(ROW(FORPTB13!$B$4:$B$580)-ROW(FORPTB13!#REF!)+1)/((FORPTB13!$B$4:$B$580=$B$5)),ROW(FORPTB13!#REF!))),"")</f>
        <v/>
      </c>
      <c r="H73" s="41" t="str">
        <f ca="1">IFERROR(INDEX(FORPTB13!$K$4:$K$580,_xlfn.AGGREGATE(15,6,(ROW(FORPTB13!$B$4:$B$580)-ROW(FORPTB13!#REF!)+1)/((FORPTB13!$B$4:$B$580=$B$5)),ROW(FORPTB13!#REF!))),"")</f>
        <v/>
      </c>
      <c r="I73" s="41" t="str">
        <f ca="1">IFERROR(INDEX(FORPTB13!$T$4:$T$580,_xlfn.AGGREGATE(15,6,(ROW(FORPTB13!$B$4:$B$580)-ROW(FORPTB13!#REF!)+1)/((FORPTB13!$B$4:$B$580=$B$5)),ROW(FORPTB13!#REF!))),"")</f>
        <v/>
      </c>
      <c r="J73" s="43" t="str">
        <f ca="1">IFERROR(INDEX(FORPTB13!$I$4:$I$580,_xlfn.AGGREGATE(15,6,(ROW(FORPTB13!$B$4:$B$580)-ROW(FORPTB13!#REF!)+1)/((FORPTB13!$B$4:$B$580=$B$5)),ROW(FORPTB13!#REF!))),"")</f>
        <v/>
      </c>
      <c r="K73" s="42" t="str">
        <f ca="1">IFERROR(INDEX(FORPTB13!$N$4:$N$580,_xlfn.AGGREGATE(15,6,(ROW(FORPTB13!$B$4:$B$580)-ROW(FORPTB13!#REF!)+1)/((FORPTB13!$B$4:$B$580=$B$5)),ROW(FORPTB13!#REF!))),"")</f>
        <v/>
      </c>
      <c r="L73" s="42" t="str">
        <f t="shared" ca="1" si="4"/>
        <v xml:space="preserve">  </v>
      </c>
      <c r="M73" s="43" t="str">
        <f ca="1">IFERROR(INDEX(FORPTB13!$L$4:$L$580,_xlfn.AGGREGATE(15,6,(ROW(FORPTB13!$B$4:$B$580)-ROW(FORPTB13!#REF!)+1)/((FORPTB13!$B$4:$B$580=$B$5)),ROW(FORPTB13!#REF!))),"")</f>
        <v/>
      </c>
      <c r="N73" s="41" t="str">
        <f ca="1">IFERROR(INDEX(FORPTB13!$M$4:$M$580,_xlfn.AGGREGATE(15,6,(ROW(FORPTB13!$B$4:$B$580)-ROW(FORPTB13!#REF!)+1)/((FORPTB13!$B$4:$B$580=$B$5)),ROW(FORPTB13!#REF!))),"")</f>
        <v/>
      </c>
    </row>
    <row r="74" spans="4:14" ht="16.8" x14ac:dyDescent="0.4">
      <c r="D74" s="44" t="str">
        <f t="shared" ca="1" si="3"/>
        <v/>
      </c>
      <c r="E74" s="44" t="str">
        <f ca="1">IFERROR(INDEX(FORPTB13!$F$4:$F$580,_xlfn.AGGREGATE(15,6,(ROW(FORPTB13!$B$4:$B$580)-ROW(FORPTB13!#REF!)+1)/((FORPTB13!$B$4:$B$580=$B$5)),ROW(FORPTB13!#REF!))),"")</f>
        <v/>
      </c>
      <c r="F74" s="44" t="str">
        <f ca="1">IFERROR(INDEX(FORPTB13!$H$4:$H$580,_xlfn.AGGREGATE(15,6,(ROW(FORPTB13!$B$4:$B$580)-ROW(FORPTB13!#REF!)+1)/((FORPTB13!$B$4:$B$580=$B$5)),ROW(FORPTB13!#REF!))),"")</f>
        <v/>
      </c>
      <c r="G74" s="44" t="str">
        <f ca="1">IFERROR(INDEX(FORPTB13!$J$4:$J$580,_xlfn.AGGREGATE(15,6,(ROW(FORPTB13!$B$4:$B$580)-ROW(FORPTB13!#REF!)+1)/((FORPTB13!$B$4:$B$580=$B$5)),ROW(FORPTB13!#REF!))),"")</f>
        <v/>
      </c>
      <c r="H74" s="44" t="str">
        <f ca="1">IFERROR(INDEX(FORPTB13!$K$4:$K$580,_xlfn.AGGREGATE(15,6,(ROW(FORPTB13!$B$4:$B$580)-ROW(FORPTB13!#REF!)+1)/((FORPTB13!$B$4:$B$580=$B$5)),ROW(FORPTB13!#REF!))),"")</f>
        <v/>
      </c>
      <c r="I74" s="44" t="str">
        <f ca="1">IFERROR(INDEX(FORPTB13!$T$4:$T$580,_xlfn.AGGREGATE(15,6,(ROW(FORPTB13!$B$4:$B$580)-ROW(FORPTB13!#REF!)+1)/((FORPTB13!$B$4:$B$580=$B$5)),ROW(FORPTB13!#REF!))),"")</f>
        <v/>
      </c>
      <c r="J74" s="46" t="str">
        <f ca="1">IFERROR(INDEX(FORPTB13!$I$4:$I$580,_xlfn.AGGREGATE(15,6,(ROW(FORPTB13!$B$4:$B$580)-ROW(FORPTB13!#REF!)+1)/((FORPTB13!$B$4:$B$580=$B$5)),ROW(FORPTB13!#REF!))),"")</f>
        <v/>
      </c>
      <c r="K74" s="45" t="str">
        <f ca="1">IFERROR(INDEX(FORPTB13!$N$4:$N$580,_xlfn.AGGREGATE(15,6,(ROW(FORPTB13!$B$4:$B$580)-ROW(FORPTB13!#REF!)+1)/((FORPTB13!$B$4:$B$580=$B$5)),ROW(FORPTB13!#REF!))),"")</f>
        <v/>
      </c>
      <c r="L74" s="45" t="str">
        <f t="shared" ca="1" si="4"/>
        <v xml:space="preserve">  </v>
      </c>
      <c r="M74" s="46" t="str">
        <f ca="1">IFERROR(INDEX(FORPTB13!$L$4:$L$580,_xlfn.AGGREGATE(15,6,(ROW(FORPTB13!$B$4:$B$580)-ROW(FORPTB13!#REF!)+1)/((FORPTB13!$B$4:$B$580=$B$5)),ROW(FORPTB13!#REF!))),"")</f>
        <v/>
      </c>
      <c r="N74" s="44" t="str">
        <f ca="1">IFERROR(INDEX(FORPTB13!$M$4:$M$580,_xlfn.AGGREGATE(15,6,(ROW(FORPTB13!$B$4:$B$580)-ROW(FORPTB13!#REF!)+1)/((FORPTB13!$B$4:$B$580=$B$5)),ROW(FORPTB13!#REF!))),"")</f>
        <v/>
      </c>
    </row>
    <row r="75" spans="4:14" ht="16.8" x14ac:dyDescent="0.4">
      <c r="D75" s="41" t="str">
        <f t="shared" ca="1" si="3"/>
        <v/>
      </c>
      <c r="E75" s="41" t="str">
        <f ca="1">IFERROR(INDEX(FORPTB13!$F$4:$F$580,_xlfn.AGGREGATE(15,6,(ROW(FORPTB13!$B$4:$B$580)-ROW(FORPTB13!#REF!)+1)/((FORPTB13!$B$4:$B$580=$B$5)),ROW(FORPTB13!#REF!))),"")</f>
        <v/>
      </c>
      <c r="F75" s="47" t="str">
        <f ca="1">IFERROR(INDEX(FORPTB13!$H$4:$H$580,_xlfn.AGGREGATE(15,6,(ROW(FORPTB13!$B$4:$B$580)-ROW(FORPTB13!#REF!)+1)/((FORPTB13!$B$4:$B$580=$B$5)),ROW(FORPTB13!#REF!))),"")</f>
        <v/>
      </c>
      <c r="G75" s="41" t="str">
        <f ca="1">IFERROR(INDEX(FORPTB13!$J$4:$J$580,_xlfn.AGGREGATE(15,6,(ROW(FORPTB13!$B$4:$B$580)-ROW(FORPTB13!#REF!)+1)/((FORPTB13!$B$4:$B$580=$B$5)),ROW(FORPTB13!#REF!))),"")</f>
        <v/>
      </c>
      <c r="H75" s="41" t="str">
        <f ca="1">IFERROR(INDEX(FORPTB13!$K$4:$K$580,_xlfn.AGGREGATE(15,6,(ROW(FORPTB13!$B$4:$B$580)-ROW(FORPTB13!#REF!)+1)/((FORPTB13!$B$4:$B$580=$B$5)),ROW(FORPTB13!#REF!))),"")</f>
        <v/>
      </c>
      <c r="I75" s="41" t="str">
        <f ca="1">IFERROR(INDEX(FORPTB13!$T$4:$T$580,_xlfn.AGGREGATE(15,6,(ROW(FORPTB13!$B$4:$B$580)-ROW(FORPTB13!#REF!)+1)/((FORPTB13!$B$4:$B$580=$B$5)),ROW(FORPTB13!#REF!))),"")</f>
        <v/>
      </c>
      <c r="J75" s="43" t="str">
        <f ca="1">IFERROR(INDEX(FORPTB13!$I$4:$I$580,_xlfn.AGGREGATE(15,6,(ROW(FORPTB13!$B$4:$B$580)-ROW(FORPTB13!#REF!)+1)/((FORPTB13!$B$4:$B$580=$B$5)),ROW(FORPTB13!#REF!))),"")</f>
        <v/>
      </c>
      <c r="K75" s="42" t="str">
        <f ca="1">IFERROR(INDEX(FORPTB13!$N$4:$N$580,_xlfn.AGGREGATE(15,6,(ROW(FORPTB13!$B$4:$B$580)-ROW(FORPTB13!#REF!)+1)/((FORPTB13!$B$4:$B$580=$B$5)),ROW(FORPTB13!#REF!))),"")</f>
        <v/>
      </c>
      <c r="L75" s="42" t="str">
        <f t="shared" ca="1" si="4"/>
        <v xml:space="preserve">  </v>
      </c>
      <c r="M75" s="43" t="str">
        <f ca="1">IFERROR(INDEX(FORPTB13!$L$4:$L$580,_xlfn.AGGREGATE(15,6,(ROW(FORPTB13!$B$4:$B$580)-ROW(FORPTB13!#REF!)+1)/((FORPTB13!$B$4:$B$580=$B$5)),ROW(FORPTB13!#REF!))),"")</f>
        <v/>
      </c>
      <c r="N75" s="41" t="str">
        <f ca="1">IFERROR(INDEX(FORPTB13!$M$4:$M$580,_xlfn.AGGREGATE(15,6,(ROW(FORPTB13!$B$4:$B$580)-ROW(FORPTB13!#REF!)+1)/((FORPTB13!$B$4:$B$580=$B$5)),ROW(FORPTB13!#REF!))),"")</f>
        <v/>
      </c>
    </row>
    <row r="76" spans="4:14" ht="16.8" x14ac:dyDescent="0.4">
      <c r="D76" s="44" t="str">
        <f t="shared" ca="1" si="3"/>
        <v/>
      </c>
      <c r="E76" s="44" t="str">
        <f ca="1">IFERROR(INDEX(FORPTB13!$F$4:$F$580,_xlfn.AGGREGATE(15,6,(ROW(FORPTB13!$B$4:$B$580)-ROW(FORPTB13!#REF!)+1)/((FORPTB13!$B$4:$B$580=$B$5)),ROW(FORPTB13!#REF!))),"")</f>
        <v/>
      </c>
      <c r="F76" s="44" t="str">
        <f ca="1">IFERROR(INDEX(FORPTB13!$H$4:$H$580,_xlfn.AGGREGATE(15,6,(ROW(FORPTB13!$B$4:$B$580)-ROW(FORPTB13!#REF!)+1)/((FORPTB13!$B$4:$B$580=$B$5)),ROW(FORPTB13!#REF!))),"")</f>
        <v/>
      </c>
      <c r="G76" s="44" t="str">
        <f ca="1">IFERROR(INDEX(FORPTB13!$J$4:$J$580,_xlfn.AGGREGATE(15,6,(ROW(FORPTB13!$B$4:$B$580)-ROW(FORPTB13!#REF!)+1)/((FORPTB13!$B$4:$B$580=$B$5)),ROW(FORPTB13!#REF!))),"")</f>
        <v/>
      </c>
      <c r="H76" s="44" t="str">
        <f ca="1">IFERROR(INDEX(FORPTB13!$K$4:$K$580,_xlfn.AGGREGATE(15,6,(ROW(FORPTB13!$B$4:$B$580)-ROW(FORPTB13!#REF!)+1)/((FORPTB13!$B$4:$B$580=$B$5)),ROW(FORPTB13!#REF!))),"")</f>
        <v/>
      </c>
      <c r="I76" s="44" t="str">
        <f ca="1">IFERROR(INDEX(FORPTB13!$T$4:$T$580,_xlfn.AGGREGATE(15,6,(ROW(FORPTB13!$B$4:$B$580)-ROW(FORPTB13!#REF!)+1)/((FORPTB13!$B$4:$B$580=$B$5)),ROW(FORPTB13!#REF!))),"")</f>
        <v/>
      </c>
      <c r="J76" s="46" t="str">
        <f ca="1">IFERROR(INDEX(FORPTB13!$I$4:$I$580,_xlfn.AGGREGATE(15,6,(ROW(FORPTB13!$B$4:$B$580)-ROW(FORPTB13!#REF!)+1)/((FORPTB13!$B$4:$B$580=$B$5)),ROW(FORPTB13!#REF!))),"")</f>
        <v/>
      </c>
      <c r="K76" s="45" t="str">
        <f ca="1">IFERROR(INDEX(FORPTB13!$N$4:$N$580,_xlfn.AGGREGATE(15,6,(ROW(FORPTB13!$B$4:$B$580)-ROW(FORPTB13!#REF!)+1)/((FORPTB13!$B$4:$B$580=$B$5)),ROW(FORPTB13!#REF!))),"")</f>
        <v/>
      </c>
      <c r="L76" s="45" t="str">
        <f t="shared" ca="1" si="4"/>
        <v xml:space="preserve">  </v>
      </c>
      <c r="M76" s="46" t="str">
        <f ca="1">IFERROR(INDEX(FORPTB13!$L$4:$L$580,_xlfn.AGGREGATE(15,6,(ROW(FORPTB13!$B$4:$B$580)-ROW(FORPTB13!#REF!)+1)/((FORPTB13!$B$4:$B$580=$B$5)),ROW(FORPTB13!#REF!))),"")</f>
        <v/>
      </c>
      <c r="N76" s="44" t="str">
        <f ca="1">IFERROR(INDEX(FORPTB13!$M$4:$M$580,_xlfn.AGGREGATE(15,6,(ROW(FORPTB13!$B$4:$B$580)-ROW(FORPTB13!#REF!)+1)/((FORPTB13!$B$4:$B$580=$B$5)),ROW(FORPTB13!#REF!))),"")</f>
        <v/>
      </c>
    </row>
    <row r="77" spans="4:14" ht="16.8" x14ac:dyDescent="0.4">
      <c r="D77" s="41" t="str">
        <f t="shared" ca="1" si="3"/>
        <v/>
      </c>
      <c r="E77" s="41" t="str">
        <f ca="1">IFERROR(INDEX(FORPTB13!$F$4:$F$580,_xlfn.AGGREGATE(15,6,(ROW(FORPTB13!$B$4:$B$580)-ROW(FORPTB13!#REF!)+1)/((FORPTB13!$B$4:$B$580=$B$5)),ROW(FORPTB13!#REF!))),"")</f>
        <v/>
      </c>
      <c r="F77" s="47" t="str">
        <f ca="1">IFERROR(INDEX(FORPTB13!$H$4:$H$580,_xlfn.AGGREGATE(15,6,(ROW(FORPTB13!$B$4:$B$580)-ROW(FORPTB13!#REF!)+1)/((FORPTB13!$B$4:$B$580=$B$5)),ROW(FORPTB13!#REF!))),"")</f>
        <v/>
      </c>
      <c r="G77" s="41" t="str">
        <f ca="1">IFERROR(INDEX(FORPTB13!$J$4:$J$580,_xlfn.AGGREGATE(15,6,(ROW(FORPTB13!$B$4:$B$580)-ROW(FORPTB13!#REF!)+1)/((FORPTB13!$B$4:$B$580=$B$5)),ROW(FORPTB13!#REF!))),"")</f>
        <v/>
      </c>
      <c r="H77" s="41" t="str">
        <f ca="1">IFERROR(INDEX(FORPTB13!$K$4:$K$580,_xlfn.AGGREGATE(15,6,(ROW(FORPTB13!$B$4:$B$580)-ROW(FORPTB13!#REF!)+1)/((FORPTB13!$B$4:$B$580=$B$5)),ROW(FORPTB13!#REF!))),"")</f>
        <v/>
      </c>
      <c r="I77" s="41" t="str">
        <f ca="1">IFERROR(INDEX(FORPTB13!$T$4:$T$580,_xlfn.AGGREGATE(15,6,(ROW(FORPTB13!$B$4:$B$580)-ROW(FORPTB13!#REF!)+1)/((FORPTB13!$B$4:$B$580=$B$5)),ROW(FORPTB13!#REF!))),"")</f>
        <v/>
      </c>
      <c r="J77" s="43" t="str">
        <f ca="1">IFERROR(INDEX(FORPTB13!$I$4:$I$580,_xlfn.AGGREGATE(15,6,(ROW(FORPTB13!$B$4:$B$580)-ROW(FORPTB13!#REF!)+1)/((FORPTB13!$B$4:$B$580=$B$5)),ROW(FORPTB13!#REF!))),"")</f>
        <v/>
      </c>
      <c r="K77" s="42" t="str">
        <f ca="1">IFERROR(INDEX(FORPTB13!$N$4:$N$580,_xlfn.AGGREGATE(15,6,(ROW(FORPTB13!$B$4:$B$580)-ROW(FORPTB13!#REF!)+1)/((FORPTB13!$B$4:$B$580=$B$5)),ROW(FORPTB13!#REF!))),"")</f>
        <v/>
      </c>
      <c r="L77" s="42" t="str">
        <f t="shared" ca="1" si="4"/>
        <v xml:space="preserve">  </v>
      </c>
      <c r="M77" s="43" t="str">
        <f ca="1">IFERROR(INDEX(FORPTB13!$L$4:$L$580,_xlfn.AGGREGATE(15,6,(ROW(FORPTB13!$B$4:$B$580)-ROW(FORPTB13!#REF!)+1)/((FORPTB13!$B$4:$B$580=$B$5)),ROW(FORPTB13!#REF!))),"")</f>
        <v/>
      </c>
      <c r="N77" s="41" t="str">
        <f ca="1">IFERROR(INDEX(FORPTB13!$M$4:$M$580,_xlfn.AGGREGATE(15,6,(ROW(FORPTB13!$B$4:$B$580)-ROW(FORPTB13!#REF!)+1)/((FORPTB13!$B$4:$B$580=$B$5)),ROW(FORPTB13!#REF!))),"")</f>
        <v/>
      </c>
    </row>
    <row r="78" spans="4:14" ht="16.8" x14ac:dyDescent="0.4">
      <c r="D78" s="44" t="str">
        <f t="shared" ca="1" si="3"/>
        <v/>
      </c>
      <c r="E78" s="44" t="str">
        <f ca="1">IFERROR(INDEX(FORPTB13!$F$4:$F$580,_xlfn.AGGREGATE(15,6,(ROW(FORPTB13!$B$4:$B$580)-ROW(FORPTB13!#REF!)+1)/((FORPTB13!$B$4:$B$580=$B$5)),ROW(FORPTB13!#REF!))),"")</f>
        <v/>
      </c>
      <c r="F78" s="44" t="str">
        <f ca="1">IFERROR(INDEX(FORPTB13!$H$4:$H$580,_xlfn.AGGREGATE(15,6,(ROW(FORPTB13!$B$4:$B$580)-ROW(FORPTB13!#REF!)+1)/((FORPTB13!$B$4:$B$580=$B$5)),ROW(FORPTB13!#REF!))),"")</f>
        <v/>
      </c>
      <c r="G78" s="44" t="str">
        <f ca="1">IFERROR(INDEX(FORPTB13!$J$4:$J$580,_xlfn.AGGREGATE(15,6,(ROW(FORPTB13!$B$4:$B$580)-ROW(FORPTB13!#REF!)+1)/((FORPTB13!$B$4:$B$580=$B$5)),ROW(FORPTB13!#REF!))),"")</f>
        <v/>
      </c>
      <c r="H78" s="44" t="str">
        <f ca="1">IFERROR(INDEX(FORPTB13!$K$4:$K$580,_xlfn.AGGREGATE(15,6,(ROW(FORPTB13!$B$4:$B$580)-ROW(FORPTB13!#REF!)+1)/((FORPTB13!$B$4:$B$580=$B$5)),ROW(FORPTB13!#REF!))),"")</f>
        <v/>
      </c>
      <c r="I78" s="44" t="str">
        <f ca="1">IFERROR(INDEX(FORPTB13!$T$4:$T$580,_xlfn.AGGREGATE(15,6,(ROW(FORPTB13!$B$4:$B$580)-ROW(FORPTB13!#REF!)+1)/((FORPTB13!$B$4:$B$580=$B$5)),ROW(FORPTB13!#REF!))),"")</f>
        <v/>
      </c>
      <c r="J78" s="46" t="str">
        <f ca="1">IFERROR(INDEX(FORPTB13!$I$4:$I$580,_xlfn.AGGREGATE(15,6,(ROW(FORPTB13!$B$4:$B$580)-ROW(FORPTB13!#REF!)+1)/((FORPTB13!$B$4:$B$580=$B$5)),ROW(FORPTB13!#REF!))),"")</f>
        <v/>
      </c>
      <c r="K78" s="45" t="str">
        <f ca="1">IFERROR(INDEX(FORPTB13!$N$4:$N$580,_xlfn.AGGREGATE(15,6,(ROW(FORPTB13!$B$4:$B$580)-ROW(FORPTB13!#REF!)+1)/((FORPTB13!$B$4:$B$580=$B$5)),ROW(FORPTB13!#REF!))),"")</f>
        <v/>
      </c>
      <c r="L78" s="45" t="str">
        <f t="shared" ca="1" si="4"/>
        <v xml:space="preserve">  </v>
      </c>
      <c r="M78" s="46" t="str">
        <f ca="1">IFERROR(INDEX(FORPTB13!$L$4:$L$580,_xlfn.AGGREGATE(15,6,(ROW(FORPTB13!$B$4:$B$580)-ROW(FORPTB13!#REF!)+1)/((FORPTB13!$B$4:$B$580=$B$5)),ROW(FORPTB13!#REF!))),"")</f>
        <v/>
      </c>
      <c r="N78" s="44" t="str">
        <f ca="1">IFERROR(INDEX(FORPTB13!$M$4:$M$580,_xlfn.AGGREGATE(15,6,(ROW(FORPTB13!$B$4:$B$580)-ROW(FORPTB13!#REF!)+1)/((FORPTB13!$B$4:$B$580=$B$5)),ROW(FORPTB13!#REF!))),"")</f>
        <v/>
      </c>
    </row>
    <row r="79" spans="4:14" ht="16.8" x14ac:dyDescent="0.4">
      <c r="D79" s="41" t="str">
        <f t="shared" ca="1" si="3"/>
        <v/>
      </c>
      <c r="E79" s="41" t="str">
        <f ca="1">IFERROR(INDEX(FORPTB13!$F$4:$F$580,_xlfn.AGGREGATE(15,6,(ROW(FORPTB13!$B$4:$B$580)-ROW(FORPTB13!#REF!)+1)/((FORPTB13!$B$4:$B$580=$B$5)),ROW(FORPTB13!#REF!))),"")</f>
        <v/>
      </c>
      <c r="F79" s="47" t="str">
        <f ca="1">IFERROR(INDEX(FORPTB13!$H$4:$H$580,_xlfn.AGGREGATE(15,6,(ROW(FORPTB13!$B$4:$B$580)-ROW(FORPTB13!#REF!)+1)/((FORPTB13!$B$4:$B$580=$B$5)),ROW(FORPTB13!#REF!))),"")</f>
        <v/>
      </c>
      <c r="G79" s="41" t="str">
        <f ca="1">IFERROR(INDEX(FORPTB13!$J$4:$J$580,_xlfn.AGGREGATE(15,6,(ROW(FORPTB13!$B$4:$B$580)-ROW(FORPTB13!#REF!)+1)/((FORPTB13!$B$4:$B$580=$B$5)),ROW(FORPTB13!#REF!))),"")</f>
        <v/>
      </c>
      <c r="H79" s="41" t="str">
        <f ca="1">IFERROR(INDEX(FORPTB13!$K$4:$K$580,_xlfn.AGGREGATE(15,6,(ROW(FORPTB13!$B$4:$B$580)-ROW(FORPTB13!#REF!)+1)/((FORPTB13!$B$4:$B$580=$B$5)),ROW(FORPTB13!#REF!))),"")</f>
        <v/>
      </c>
      <c r="I79" s="41" t="str">
        <f ca="1">IFERROR(INDEX(FORPTB13!$T$4:$T$580,_xlfn.AGGREGATE(15,6,(ROW(FORPTB13!$B$4:$B$580)-ROW(FORPTB13!#REF!)+1)/((FORPTB13!$B$4:$B$580=$B$5)),ROW(FORPTB13!#REF!))),"")</f>
        <v/>
      </c>
      <c r="J79" s="43" t="str">
        <f ca="1">IFERROR(INDEX(FORPTB13!$I$4:$I$580,_xlfn.AGGREGATE(15,6,(ROW(FORPTB13!$B$4:$B$580)-ROW(FORPTB13!#REF!)+1)/((FORPTB13!$B$4:$B$580=$B$5)),ROW(FORPTB13!#REF!))),"")</f>
        <v/>
      </c>
      <c r="K79" s="42" t="str">
        <f ca="1">IFERROR(INDEX(FORPTB13!$N$4:$N$580,_xlfn.AGGREGATE(15,6,(ROW(FORPTB13!$B$4:$B$580)-ROW(FORPTB13!#REF!)+1)/((FORPTB13!$B$4:$B$580=$B$5)),ROW(FORPTB13!#REF!))),"")</f>
        <v/>
      </c>
      <c r="L79" s="42" t="str">
        <f t="shared" ca="1" si="4"/>
        <v xml:space="preserve">  </v>
      </c>
      <c r="M79" s="43" t="str">
        <f ca="1">IFERROR(INDEX(FORPTB13!$L$4:$L$580,_xlfn.AGGREGATE(15,6,(ROW(FORPTB13!$B$4:$B$580)-ROW(FORPTB13!#REF!)+1)/((FORPTB13!$B$4:$B$580=$B$5)),ROW(FORPTB13!#REF!))),"")</f>
        <v/>
      </c>
      <c r="N79" s="41" t="str">
        <f ca="1">IFERROR(INDEX(FORPTB13!$M$4:$M$580,_xlfn.AGGREGATE(15,6,(ROW(FORPTB13!$B$4:$B$580)-ROW(FORPTB13!#REF!)+1)/((FORPTB13!$B$4:$B$580=$B$5)),ROW(FORPTB13!#REF!))),"")</f>
        <v/>
      </c>
    </row>
    <row r="80" spans="4:14" ht="16.8" x14ac:dyDescent="0.4">
      <c r="D80" s="44" t="str">
        <f t="shared" ca="1" si="3"/>
        <v/>
      </c>
      <c r="E80" s="44" t="str">
        <f ca="1">IFERROR(INDEX(FORPTB13!$F$4:$F$580,_xlfn.AGGREGATE(15,6,(ROW(FORPTB13!$B$4:$B$580)-ROW(FORPTB13!#REF!)+1)/((FORPTB13!$B$4:$B$580=$B$5)),ROW(FORPTB13!#REF!))),"")</f>
        <v/>
      </c>
      <c r="F80" s="44" t="str">
        <f ca="1">IFERROR(INDEX(FORPTB13!$H$4:$H$580,_xlfn.AGGREGATE(15,6,(ROW(FORPTB13!$B$4:$B$580)-ROW(FORPTB13!#REF!)+1)/((FORPTB13!$B$4:$B$580=$B$5)),ROW(FORPTB13!#REF!))),"")</f>
        <v/>
      </c>
      <c r="G80" s="44" t="str">
        <f ca="1">IFERROR(INDEX(FORPTB13!$J$4:$J$580,_xlfn.AGGREGATE(15,6,(ROW(FORPTB13!$B$4:$B$580)-ROW(FORPTB13!#REF!)+1)/((FORPTB13!$B$4:$B$580=$B$5)),ROW(FORPTB13!#REF!))),"")</f>
        <v/>
      </c>
      <c r="H80" s="44" t="str">
        <f ca="1">IFERROR(INDEX(FORPTB13!$K$4:$K$580,_xlfn.AGGREGATE(15,6,(ROW(FORPTB13!$B$4:$B$580)-ROW(FORPTB13!#REF!)+1)/((FORPTB13!$B$4:$B$580=$B$5)),ROW(FORPTB13!#REF!))),"")</f>
        <v/>
      </c>
      <c r="I80" s="44" t="str">
        <f ca="1">IFERROR(INDEX(FORPTB13!$T$4:$T$580,_xlfn.AGGREGATE(15,6,(ROW(FORPTB13!$B$4:$B$580)-ROW(FORPTB13!#REF!)+1)/((FORPTB13!$B$4:$B$580=$B$5)),ROW(FORPTB13!#REF!))),"")</f>
        <v/>
      </c>
      <c r="J80" s="46" t="str">
        <f ca="1">IFERROR(INDEX(FORPTB13!$I$4:$I$580,_xlfn.AGGREGATE(15,6,(ROW(FORPTB13!$B$4:$B$580)-ROW(FORPTB13!#REF!)+1)/((FORPTB13!$B$4:$B$580=$B$5)),ROW(FORPTB13!#REF!))),"")</f>
        <v/>
      </c>
      <c r="K80" s="45" t="str">
        <f ca="1">IFERROR(INDEX(FORPTB13!$N$4:$N$580,_xlfn.AGGREGATE(15,6,(ROW(FORPTB13!$B$4:$B$580)-ROW(FORPTB13!#REF!)+1)/((FORPTB13!$B$4:$B$580=$B$5)),ROW(FORPTB13!#REF!))),"")</f>
        <v/>
      </c>
      <c r="L80" s="45" t="str">
        <f t="shared" ca="1" si="4"/>
        <v xml:space="preserve">  </v>
      </c>
      <c r="M80" s="46" t="str">
        <f ca="1">IFERROR(INDEX(FORPTB13!$L$4:$L$580,_xlfn.AGGREGATE(15,6,(ROW(FORPTB13!$B$4:$B$580)-ROW(FORPTB13!#REF!)+1)/((FORPTB13!$B$4:$B$580=$B$5)),ROW(FORPTB13!#REF!))),"")</f>
        <v/>
      </c>
      <c r="N80" s="44" t="str">
        <f ca="1">IFERROR(INDEX(FORPTB13!$M$4:$M$580,_xlfn.AGGREGATE(15,6,(ROW(FORPTB13!$B$4:$B$580)-ROW(FORPTB13!#REF!)+1)/((FORPTB13!$B$4:$B$580=$B$5)),ROW(FORPTB13!#REF!))),"")</f>
        <v/>
      </c>
    </row>
    <row r="81" spans="4:14" ht="16.8" x14ac:dyDescent="0.4">
      <c r="D81" s="41" t="str">
        <f t="shared" ca="1" si="3"/>
        <v/>
      </c>
      <c r="E81" s="41" t="str">
        <f ca="1">IFERROR(INDEX(FORPTB13!$F$4:$F$580,_xlfn.AGGREGATE(15,6,(ROW(FORPTB13!$B$4:$B$580)-ROW(FORPTB13!#REF!)+1)/((FORPTB13!$B$4:$B$580=$B$5)),ROW(FORPTB13!#REF!))),"")</f>
        <v/>
      </c>
      <c r="F81" s="47" t="str">
        <f ca="1">IFERROR(INDEX(FORPTB13!$H$4:$H$580,_xlfn.AGGREGATE(15,6,(ROW(FORPTB13!$B$4:$B$580)-ROW(FORPTB13!#REF!)+1)/((FORPTB13!$B$4:$B$580=$B$5)),ROW(FORPTB13!#REF!))),"")</f>
        <v/>
      </c>
      <c r="G81" s="41" t="str">
        <f ca="1">IFERROR(INDEX(FORPTB13!$J$4:$J$580,_xlfn.AGGREGATE(15,6,(ROW(FORPTB13!$B$4:$B$580)-ROW(FORPTB13!#REF!)+1)/((FORPTB13!$B$4:$B$580=$B$5)),ROW(FORPTB13!#REF!))),"")</f>
        <v/>
      </c>
      <c r="H81" s="41" t="str">
        <f ca="1">IFERROR(INDEX(FORPTB13!$K$4:$K$580,_xlfn.AGGREGATE(15,6,(ROW(FORPTB13!$B$4:$B$580)-ROW(FORPTB13!#REF!)+1)/((FORPTB13!$B$4:$B$580=$B$5)),ROW(FORPTB13!#REF!))),"")</f>
        <v/>
      </c>
      <c r="I81" s="41" t="str">
        <f ca="1">IFERROR(INDEX(FORPTB13!$T$4:$T$580,_xlfn.AGGREGATE(15,6,(ROW(FORPTB13!$B$4:$B$580)-ROW(FORPTB13!#REF!)+1)/((FORPTB13!$B$4:$B$580=$B$5)),ROW(FORPTB13!#REF!))),"")</f>
        <v/>
      </c>
      <c r="J81" s="43" t="str">
        <f ca="1">IFERROR(INDEX(FORPTB13!$I$4:$I$580,_xlfn.AGGREGATE(15,6,(ROW(FORPTB13!$B$4:$B$580)-ROW(FORPTB13!#REF!)+1)/((FORPTB13!$B$4:$B$580=$B$5)),ROW(FORPTB13!#REF!))),"")</f>
        <v/>
      </c>
      <c r="K81" s="42" t="str">
        <f ca="1">IFERROR(INDEX(FORPTB13!$N$4:$N$580,_xlfn.AGGREGATE(15,6,(ROW(FORPTB13!$B$4:$B$580)-ROW(FORPTB13!#REF!)+1)/((FORPTB13!$B$4:$B$580=$B$5)),ROW(FORPTB13!#REF!))),"")</f>
        <v/>
      </c>
      <c r="L81" s="42" t="str">
        <f t="shared" ca="1" si="4"/>
        <v xml:space="preserve">  </v>
      </c>
      <c r="M81" s="43" t="str">
        <f ca="1">IFERROR(INDEX(FORPTB13!$L$4:$L$580,_xlfn.AGGREGATE(15,6,(ROW(FORPTB13!$B$4:$B$580)-ROW(FORPTB13!#REF!)+1)/((FORPTB13!$B$4:$B$580=$B$5)),ROW(FORPTB13!#REF!))),"")</f>
        <v/>
      </c>
      <c r="N81" s="41" t="str">
        <f ca="1">IFERROR(INDEX(FORPTB13!$M$4:$M$580,_xlfn.AGGREGATE(15,6,(ROW(FORPTB13!$B$4:$B$580)-ROW(FORPTB13!#REF!)+1)/((FORPTB13!$B$4:$B$580=$B$5)),ROW(FORPTB13!#REF!))),"")</f>
        <v/>
      </c>
    </row>
    <row r="82" spans="4:14" ht="16.8" x14ac:dyDescent="0.4">
      <c r="D82" s="44" t="str">
        <f t="shared" ca="1" si="3"/>
        <v/>
      </c>
      <c r="E82" s="44" t="str">
        <f ca="1">IFERROR(INDEX(FORPTB13!$F$4:$F$580,_xlfn.AGGREGATE(15,6,(ROW(FORPTB13!$B$4:$B$580)-ROW(FORPTB13!#REF!)+1)/((FORPTB13!$B$4:$B$580=$B$5)),ROW(FORPTB13!#REF!))),"")</f>
        <v/>
      </c>
      <c r="F82" s="44" t="str">
        <f ca="1">IFERROR(INDEX(FORPTB13!$H$4:$H$580,_xlfn.AGGREGATE(15,6,(ROW(FORPTB13!$B$4:$B$580)-ROW(FORPTB13!#REF!)+1)/((FORPTB13!$B$4:$B$580=$B$5)),ROW(FORPTB13!#REF!))),"")</f>
        <v/>
      </c>
      <c r="G82" s="44" t="str">
        <f ca="1">IFERROR(INDEX(FORPTB13!$J$4:$J$580,_xlfn.AGGREGATE(15,6,(ROW(FORPTB13!$B$4:$B$580)-ROW(FORPTB13!#REF!)+1)/((FORPTB13!$B$4:$B$580=$B$5)),ROW(FORPTB13!#REF!))),"")</f>
        <v/>
      </c>
      <c r="H82" s="44" t="str">
        <f ca="1">IFERROR(INDEX(FORPTB13!$K$4:$K$580,_xlfn.AGGREGATE(15,6,(ROW(FORPTB13!$B$4:$B$580)-ROW(FORPTB13!#REF!)+1)/((FORPTB13!$B$4:$B$580=$B$5)),ROW(FORPTB13!#REF!))),"")</f>
        <v/>
      </c>
      <c r="I82" s="44" t="str">
        <f ca="1">IFERROR(INDEX(FORPTB13!$T$4:$T$580,_xlfn.AGGREGATE(15,6,(ROW(FORPTB13!$B$4:$B$580)-ROW(FORPTB13!#REF!)+1)/((FORPTB13!$B$4:$B$580=$B$5)),ROW(FORPTB13!#REF!))),"")</f>
        <v/>
      </c>
      <c r="J82" s="46" t="str">
        <f ca="1">IFERROR(INDEX(FORPTB13!$I$4:$I$580,_xlfn.AGGREGATE(15,6,(ROW(FORPTB13!$B$4:$B$580)-ROW(FORPTB13!#REF!)+1)/((FORPTB13!$B$4:$B$580=$B$5)),ROW(FORPTB13!#REF!))),"")</f>
        <v/>
      </c>
      <c r="K82" s="45" t="str">
        <f ca="1">IFERROR(INDEX(FORPTB13!$N$4:$N$580,_xlfn.AGGREGATE(15,6,(ROW(FORPTB13!$B$4:$B$580)-ROW(FORPTB13!#REF!)+1)/((FORPTB13!$B$4:$B$580=$B$5)),ROW(FORPTB13!#REF!))),"")</f>
        <v/>
      </c>
      <c r="L82" s="45" t="str">
        <f t="shared" ca="1" si="4"/>
        <v xml:space="preserve">  </v>
      </c>
      <c r="M82" s="46" t="str">
        <f ca="1">IFERROR(INDEX(FORPTB13!$L$4:$L$580,_xlfn.AGGREGATE(15,6,(ROW(FORPTB13!$B$4:$B$580)-ROW(FORPTB13!#REF!)+1)/((FORPTB13!$B$4:$B$580=$B$5)),ROW(FORPTB13!#REF!))),"")</f>
        <v/>
      </c>
      <c r="N82" s="44" t="str">
        <f ca="1">IFERROR(INDEX(FORPTB13!$M$4:$M$580,_xlfn.AGGREGATE(15,6,(ROW(FORPTB13!$B$4:$B$580)-ROW(FORPTB13!#REF!)+1)/((FORPTB13!$B$4:$B$580=$B$5)),ROW(FORPTB13!#REF!))),"")</f>
        <v/>
      </c>
    </row>
    <row r="83" spans="4:14" ht="16.8" x14ac:dyDescent="0.4">
      <c r="D83" s="41" t="str">
        <f t="shared" ca="1" si="3"/>
        <v/>
      </c>
      <c r="E83" s="41" t="str">
        <f ca="1">IFERROR(INDEX(FORPTB13!$F$4:$F$580,_xlfn.AGGREGATE(15,6,(ROW(FORPTB13!$B$4:$B$580)-ROW(FORPTB13!#REF!)+1)/((FORPTB13!$B$4:$B$580=$B$5)),ROW(FORPTB13!#REF!))),"")</f>
        <v/>
      </c>
      <c r="F83" s="47" t="str">
        <f ca="1">IFERROR(INDEX(FORPTB13!$H$4:$H$580,_xlfn.AGGREGATE(15,6,(ROW(FORPTB13!$B$4:$B$580)-ROW(FORPTB13!#REF!)+1)/((FORPTB13!$B$4:$B$580=$B$5)),ROW(FORPTB13!#REF!))),"")</f>
        <v/>
      </c>
      <c r="G83" s="41" t="str">
        <f ca="1">IFERROR(INDEX(FORPTB13!$J$4:$J$580,_xlfn.AGGREGATE(15,6,(ROW(FORPTB13!$B$4:$B$580)-ROW(FORPTB13!#REF!)+1)/((FORPTB13!$B$4:$B$580=$B$5)),ROW(FORPTB13!#REF!))),"")</f>
        <v/>
      </c>
      <c r="H83" s="41" t="str">
        <f ca="1">IFERROR(INDEX(FORPTB13!$K$4:$K$580,_xlfn.AGGREGATE(15,6,(ROW(FORPTB13!$B$4:$B$580)-ROW(FORPTB13!#REF!)+1)/((FORPTB13!$B$4:$B$580=$B$5)),ROW(FORPTB13!#REF!))),"")</f>
        <v/>
      </c>
      <c r="I83" s="41" t="str">
        <f ca="1">IFERROR(INDEX(FORPTB13!$T$4:$T$580,_xlfn.AGGREGATE(15,6,(ROW(FORPTB13!$B$4:$B$580)-ROW(FORPTB13!#REF!)+1)/((FORPTB13!$B$4:$B$580=$B$5)),ROW(FORPTB13!#REF!))),"")</f>
        <v/>
      </c>
      <c r="J83" s="43" t="str">
        <f ca="1">IFERROR(INDEX(FORPTB13!$I$4:$I$580,_xlfn.AGGREGATE(15,6,(ROW(FORPTB13!$B$4:$B$580)-ROW(FORPTB13!#REF!)+1)/((FORPTB13!$B$4:$B$580=$B$5)),ROW(FORPTB13!#REF!))),"")</f>
        <v/>
      </c>
      <c r="K83" s="42" t="str">
        <f ca="1">IFERROR(INDEX(FORPTB13!$N$4:$N$580,_xlfn.AGGREGATE(15,6,(ROW(FORPTB13!$B$4:$B$580)-ROW(FORPTB13!#REF!)+1)/((FORPTB13!$B$4:$B$580=$B$5)),ROW(FORPTB13!#REF!))),"")</f>
        <v/>
      </c>
      <c r="L83" s="42" t="str">
        <f t="shared" ca="1" si="4"/>
        <v xml:space="preserve">  </v>
      </c>
      <c r="M83" s="43" t="str">
        <f ca="1">IFERROR(INDEX(FORPTB13!$L$4:$L$580,_xlfn.AGGREGATE(15,6,(ROW(FORPTB13!$B$4:$B$580)-ROW(FORPTB13!#REF!)+1)/((FORPTB13!$B$4:$B$580=$B$5)),ROW(FORPTB13!#REF!))),"")</f>
        <v/>
      </c>
      <c r="N83" s="41" t="str">
        <f ca="1">IFERROR(INDEX(FORPTB13!$M$4:$M$580,_xlfn.AGGREGATE(15,6,(ROW(FORPTB13!$B$4:$B$580)-ROW(FORPTB13!#REF!)+1)/((FORPTB13!$B$4:$B$580=$B$5)),ROW(FORPTB13!#REF!))),"")</f>
        <v/>
      </c>
    </row>
    <row r="84" spans="4:14" ht="16.8" x14ac:dyDescent="0.4">
      <c r="D84" s="44" t="str">
        <f t="shared" ca="1" si="3"/>
        <v/>
      </c>
      <c r="E84" s="44" t="str">
        <f ca="1">IFERROR(INDEX(FORPTB13!$F$4:$F$580,_xlfn.AGGREGATE(15,6,(ROW(FORPTB13!$B$4:$B$580)-ROW(FORPTB13!#REF!)+1)/((FORPTB13!$B$4:$B$580=$B$5)),ROW(FORPTB13!#REF!))),"")</f>
        <v/>
      </c>
      <c r="F84" s="44" t="str">
        <f ca="1">IFERROR(INDEX(FORPTB13!$H$4:$H$580,_xlfn.AGGREGATE(15,6,(ROW(FORPTB13!$B$4:$B$580)-ROW(FORPTB13!#REF!)+1)/((FORPTB13!$B$4:$B$580=$B$5)),ROW(FORPTB13!#REF!))),"")</f>
        <v/>
      </c>
      <c r="G84" s="44" t="str">
        <f ca="1">IFERROR(INDEX(FORPTB13!$J$4:$J$580,_xlfn.AGGREGATE(15,6,(ROW(FORPTB13!$B$4:$B$580)-ROW(FORPTB13!#REF!)+1)/((FORPTB13!$B$4:$B$580=$B$5)),ROW(FORPTB13!#REF!))),"")</f>
        <v/>
      </c>
      <c r="H84" s="44" t="str">
        <f ca="1">IFERROR(INDEX(FORPTB13!$K$4:$K$580,_xlfn.AGGREGATE(15,6,(ROW(FORPTB13!$B$4:$B$580)-ROW(FORPTB13!#REF!)+1)/((FORPTB13!$B$4:$B$580=$B$5)),ROW(FORPTB13!#REF!))),"")</f>
        <v/>
      </c>
      <c r="I84" s="44" t="str">
        <f ca="1">IFERROR(INDEX(FORPTB13!$T$4:$T$580,_xlfn.AGGREGATE(15,6,(ROW(FORPTB13!$B$4:$B$580)-ROW(FORPTB13!#REF!)+1)/((FORPTB13!$B$4:$B$580=$B$5)),ROW(FORPTB13!#REF!))),"")</f>
        <v/>
      </c>
      <c r="J84" s="46" t="str">
        <f ca="1">IFERROR(INDEX(FORPTB13!$I$4:$I$580,_xlfn.AGGREGATE(15,6,(ROW(FORPTB13!$B$4:$B$580)-ROW(FORPTB13!#REF!)+1)/((FORPTB13!$B$4:$B$580=$B$5)),ROW(FORPTB13!#REF!))),"")</f>
        <v/>
      </c>
      <c r="K84" s="45" t="str">
        <f ca="1">IFERROR(INDEX(FORPTB13!$N$4:$N$580,_xlfn.AGGREGATE(15,6,(ROW(FORPTB13!$B$4:$B$580)-ROW(FORPTB13!#REF!)+1)/((FORPTB13!$B$4:$B$580=$B$5)),ROW(FORPTB13!#REF!))),"")</f>
        <v/>
      </c>
      <c r="L84" s="45" t="str">
        <f t="shared" ca="1" si="4"/>
        <v xml:space="preserve">  </v>
      </c>
      <c r="M84" s="46" t="str">
        <f ca="1">IFERROR(INDEX(FORPTB13!$L$4:$L$580,_xlfn.AGGREGATE(15,6,(ROW(FORPTB13!$B$4:$B$580)-ROW(FORPTB13!#REF!)+1)/((FORPTB13!$B$4:$B$580=$B$5)),ROW(FORPTB13!#REF!))),"")</f>
        <v/>
      </c>
      <c r="N84" s="44" t="str">
        <f ca="1">IFERROR(INDEX(FORPTB13!$M$4:$M$580,_xlfn.AGGREGATE(15,6,(ROW(FORPTB13!$B$4:$B$580)-ROW(FORPTB13!#REF!)+1)/((FORPTB13!$B$4:$B$580=$B$5)),ROW(FORPTB13!#REF!))),"")</f>
        <v/>
      </c>
    </row>
    <row r="85" spans="4:14" ht="16.8" x14ac:dyDescent="0.4">
      <c r="D85" s="41" t="str">
        <f t="shared" ca="1" si="3"/>
        <v/>
      </c>
      <c r="E85" s="41" t="str">
        <f ca="1">IFERROR(INDEX(FORPTB13!$F$4:$F$580,_xlfn.AGGREGATE(15,6,(ROW(FORPTB13!$B$4:$B$580)-ROW(FORPTB13!#REF!)+1)/((FORPTB13!$B$4:$B$580=$B$5)),ROW(FORPTB13!#REF!))),"")</f>
        <v/>
      </c>
      <c r="F85" s="47" t="str">
        <f ca="1">IFERROR(INDEX(FORPTB13!$H$4:$H$580,_xlfn.AGGREGATE(15,6,(ROW(FORPTB13!$B$4:$B$580)-ROW(FORPTB13!#REF!)+1)/((FORPTB13!$B$4:$B$580=$B$5)),ROW(FORPTB13!#REF!))),"")</f>
        <v/>
      </c>
      <c r="G85" s="41" t="str">
        <f ca="1">IFERROR(INDEX(FORPTB13!$J$4:$J$580,_xlfn.AGGREGATE(15,6,(ROW(FORPTB13!$B$4:$B$580)-ROW(FORPTB13!#REF!)+1)/((FORPTB13!$B$4:$B$580=$B$5)),ROW(FORPTB13!#REF!))),"")</f>
        <v/>
      </c>
      <c r="H85" s="41" t="str">
        <f ca="1">IFERROR(INDEX(FORPTB13!$K$4:$K$580,_xlfn.AGGREGATE(15,6,(ROW(FORPTB13!$B$4:$B$580)-ROW(FORPTB13!#REF!)+1)/((FORPTB13!$B$4:$B$580=$B$5)),ROW(FORPTB13!#REF!))),"")</f>
        <v/>
      </c>
      <c r="I85" s="41" t="str">
        <f ca="1">IFERROR(INDEX(FORPTB13!$T$4:$T$580,_xlfn.AGGREGATE(15,6,(ROW(FORPTB13!$B$4:$B$580)-ROW(FORPTB13!#REF!)+1)/((FORPTB13!$B$4:$B$580=$B$5)),ROW(FORPTB13!#REF!))),"")</f>
        <v/>
      </c>
      <c r="J85" s="43" t="str">
        <f ca="1">IFERROR(INDEX(FORPTB13!$I$4:$I$580,_xlfn.AGGREGATE(15,6,(ROW(FORPTB13!$B$4:$B$580)-ROW(FORPTB13!#REF!)+1)/((FORPTB13!$B$4:$B$580=$B$5)),ROW(FORPTB13!#REF!))),"")</f>
        <v/>
      </c>
      <c r="K85" s="42" t="str">
        <f ca="1">IFERROR(INDEX(FORPTB13!$N$4:$N$580,_xlfn.AGGREGATE(15,6,(ROW(FORPTB13!$B$4:$B$580)-ROW(FORPTB13!#REF!)+1)/((FORPTB13!$B$4:$B$580=$B$5)),ROW(FORPTB13!#REF!))),"")</f>
        <v/>
      </c>
      <c r="L85" s="42" t="str">
        <f t="shared" ca="1" si="4"/>
        <v xml:space="preserve">  </v>
      </c>
      <c r="M85" s="43" t="str">
        <f ca="1">IFERROR(INDEX(FORPTB13!$L$4:$L$580,_xlfn.AGGREGATE(15,6,(ROW(FORPTB13!$B$4:$B$580)-ROW(FORPTB13!#REF!)+1)/((FORPTB13!$B$4:$B$580=$B$5)),ROW(FORPTB13!#REF!))),"")</f>
        <v/>
      </c>
      <c r="N85" s="41" t="str">
        <f ca="1">IFERROR(INDEX(FORPTB13!$M$4:$M$580,_xlfn.AGGREGATE(15,6,(ROW(FORPTB13!$B$4:$B$580)-ROW(FORPTB13!#REF!)+1)/((FORPTB13!$B$4:$B$580=$B$5)),ROW(FORPTB13!#REF!))),"")</f>
        <v/>
      </c>
    </row>
    <row r="86" spans="4:14" ht="16.8" x14ac:dyDescent="0.4">
      <c r="D86" s="44" t="str">
        <f t="shared" ca="1" si="3"/>
        <v/>
      </c>
      <c r="E86" s="44" t="str">
        <f ca="1">IFERROR(INDEX(FORPTB13!$F$4:$F$580,_xlfn.AGGREGATE(15,6,(ROW(FORPTB13!$B$4:$B$580)-ROW(FORPTB13!#REF!)+1)/((FORPTB13!$B$4:$B$580=$B$5)),ROW(FORPTB13!#REF!))),"")</f>
        <v/>
      </c>
      <c r="F86" s="44" t="str">
        <f ca="1">IFERROR(INDEX(FORPTB13!$H$4:$H$580,_xlfn.AGGREGATE(15,6,(ROW(FORPTB13!$B$4:$B$580)-ROW(FORPTB13!#REF!)+1)/((FORPTB13!$B$4:$B$580=$B$5)),ROW(FORPTB13!#REF!))),"")</f>
        <v/>
      </c>
      <c r="G86" s="44" t="str">
        <f ca="1">IFERROR(INDEX(FORPTB13!$J$4:$J$580,_xlfn.AGGREGATE(15,6,(ROW(FORPTB13!$B$4:$B$580)-ROW(FORPTB13!#REF!)+1)/((FORPTB13!$B$4:$B$580=$B$5)),ROW(FORPTB13!#REF!))),"")</f>
        <v/>
      </c>
      <c r="H86" s="44" t="str">
        <f ca="1">IFERROR(INDEX(FORPTB13!$K$4:$K$580,_xlfn.AGGREGATE(15,6,(ROW(FORPTB13!$B$4:$B$580)-ROW(FORPTB13!#REF!)+1)/((FORPTB13!$B$4:$B$580=$B$5)),ROW(FORPTB13!#REF!))),"")</f>
        <v/>
      </c>
      <c r="I86" s="44" t="str">
        <f ca="1">IFERROR(INDEX(FORPTB13!$T$4:$T$580,_xlfn.AGGREGATE(15,6,(ROW(FORPTB13!$B$4:$B$580)-ROW(FORPTB13!#REF!)+1)/((FORPTB13!$B$4:$B$580=$B$5)),ROW(FORPTB13!#REF!))),"")</f>
        <v/>
      </c>
      <c r="J86" s="46" t="str">
        <f ca="1">IFERROR(INDEX(FORPTB13!$I$4:$I$580,_xlfn.AGGREGATE(15,6,(ROW(FORPTB13!$B$4:$B$580)-ROW(FORPTB13!#REF!)+1)/((FORPTB13!$B$4:$B$580=$B$5)),ROW(FORPTB13!#REF!))),"")</f>
        <v/>
      </c>
      <c r="K86" s="45" t="str">
        <f ca="1">IFERROR(INDEX(FORPTB13!$N$4:$N$580,_xlfn.AGGREGATE(15,6,(ROW(FORPTB13!$B$4:$B$580)-ROW(FORPTB13!#REF!)+1)/((FORPTB13!$B$4:$B$580=$B$5)),ROW(FORPTB13!#REF!))),"")</f>
        <v/>
      </c>
      <c r="L86" s="45" t="str">
        <f t="shared" ca="1" si="4"/>
        <v xml:space="preserve">  </v>
      </c>
      <c r="M86" s="46" t="str">
        <f ca="1">IFERROR(INDEX(FORPTB13!$L$4:$L$580,_xlfn.AGGREGATE(15,6,(ROW(FORPTB13!$B$4:$B$580)-ROW(FORPTB13!#REF!)+1)/((FORPTB13!$B$4:$B$580=$B$5)),ROW(FORPTB13!#REF!))),"")</f>
        <v/>
      </c>
      <c r="N86" s="44" t="str">
        <f ca="1">IFERROR(INDEX(FORPTB13!$M$4:$M$580,_xlfn.AGGREGATE(15,6,(ROW(FORPTB13!$B$4:$B$580)-ROW(FORPTB13!#REF!)+1)/((FORPTB13!$B$4:$B$580=$B$5)),ROW(FORPTB13!#REF!))),"")</f>
        <v/>
      </c>
    </row>
    <row r="87" spans="4:14" ht="16.8" x14ac:dyDescent="0.4">
      <c r="D87" s="41" t="str">
        <f t="shared" ca="1" si="3"/>
        <v/>
      </c>
      <c r="E87" s="41" t="str">
        <f ca="1">IFERROR(INDEX(FORPTB13!$F$4:$F$580,_xlfn.AGGREGATE(15,6,(ROW(FORPTB13!$B$4:$B$580)-ROW(FORPTB13!#REF!)+1)/((FORPTB13!$B$4:$B$580=$B$5)),ROW(FORPTB13!#REF!))),"")</f>
        <v/>
      </c>
      <c r="F87" s="47" t="str">
        <f ca="1">IFERROR(INDEX(FORPTB13!$H$4:$H$580,_xlfn.AGGREGATE(15,6,(ROW(FORPTB13!$B$4:$B$580)-ROW(FORPTB13!#REF!)+1)/((FORPTB13!$B$4:$B$580=$B$5)),ROW(FORPTB13!#REF!))),"")</f>
        <v/>
      </c>
      <c r="G87" s="41" t="str">
        <f ca="1">IFERROR(INDEX(FORPTB13!$J$4:$J$580,_xlfn.AGGREGATE(15,6,(ROW(FORPTB13!$B$4:$B$580)-ROW(FORPTB13!#REF!)+1)/((FORPTB13!$B$4:$B$580=$B$5)),ROW(FORPTB13!#REF!))),"")</f>
        <v/>
      </c>
      <c r="H87" s="41" t="str">
        <f ca="1">IFERROR(INDEX(FORPTB13!$K$4:$K$580,_xlfn.AGGREGATE(15,6,(ROW(FORPTB13!$B$4:$B$580)-ROW(FORPTB13!#REF!)+1)/((FORPTB13!$B$4:$B$580=$B$5)),ROW(FORPTB13!#REF!))),"")</f>
        <v/>
      </c>
      <c r="I87" s="41" t="str">
        <f ca="1">IFERROR(INDEX(FORPTB13!$T$4:$T$580,_xlfn.AGGREGATE(15,6,(ROW(FORPTB13!$B$4:$B$580)-ROW(FORPTB13!#REF!)+1)/((FORPTB13!$B$4:$B$580=$B$5)),ROW(FORPTB13!#REF!))),"")</f>
        <v/>
      </c>
      <c r="J87" s="43" t="str">
        <f ca="1">IFERROR(INDEX(FORPTB13!$I$4:$I$580,_xlfn.AGGREGATE(15,6,(ROW(FORPTB13!$B$4:$B$580)-ROW(FORPTB13!#REF!)+1)/((FORPTB13!$B$4:$B$580=$B$5)),ROW(FORPTB13!#REF!))),"")</f>
        <v/>
      </c>
      <c r="K87" s="42" t="str">
        <f ca="1">IFERROR(INDEX(FORPTB13!$N$4:$N$580,_xlfn.AGGREGATE(15,6,(ROW(FORPTB13!$B$4:$B$580)-ROW(FORPTB13!#REF!)+1)/((FORPTB13!$B$4:$B$580=$B$5)),ROW(FORPTB13!#REF!))),"")</f>
        <v/>
      </c>
      <c r="L87" s="42" t="str">
        <f t="shared" ca="1" si="4"/>
        <v xml:space="preserve">  </v>
      </c>
      <c r="M87" s="43" t="str">
        <f ca="1">IFERROR(INDEX(FORPTB13!$L$4:$L$580,_xlfn.AGGREGATE(15,6,(ROW(FORPTB13!$B$4:$B$580)-ROW(FORPTB13!#REF!)+1)/((FORPTB13!$B$4:$B$580=$B$5)),ROW(FORPTB13!#REF!))),"")</f>
        <v/>
      </c>
      <c r="N87" s="41" t="str">
        <f ca="1">IFERROR(INDEX(FORPTB13!$M$4:$M$580,_xlfn.AGGREGATE(15,6,(ROW(FORPTB13!$B$4:$B$580)-ROW(FORPTB13!#REF!)+1)/((FORPTB13!$B$4:$B$580=$B$5)),ROW(FORPTB13!#REF!))),"")</f>
        <v/>
      </c>
    </row>
    <row r="88" spans="4:14" ht="16.8" x14ac:dyDescent="0.4">
      <c r="D88" s="44" t="str">
        <f t="shared" ca="1" si="3"/>
        <v/>
      </c>
      <c r="E88" s="44" t="str">
        <f ca="1">IFERROR(INDEX(FORPTB13!$F$4:$F$580,_xlfn.AGGREGATE(15,6,(ROW(FORPTB13!$B$4:$B$580)-ROW(FORPTB13!#REF!)+1)/((FORPTB13!$B$4:$B$580=$B$5)),ROW(FORPTB13!#REF!))),"")</f>
        <v/>
      </c>
      <c r="F88" s="44" t="str">
        <f ca="1">IFERROR(INDEX(FORPTB13!$H$4:$H$580,_xlfn.AGGREGATE(15,6,(ROW(FORPTB13!$B$4:$B$580)-ROW(FORPTB13!#REF!)+1)/((FORPTB13!$B$4:$B$580=$B$5)),ROW(FORPTB13!#REF!))),"")</f>
        <v/>
      </c>
      <c r="G88" s="44" t="str">
        <f ca="1">IFERROR(INDEX(FORPTB13!$J$4:$J$580,_xlfn.AGGREGATE(15,6,(ROW(FORPTB13!$B$4:$B$580)-ROW(FORPTB13!#REF!)+1)/((FORPTB13!$B$4:$B$580=$B$5)),ROW(FORPTB13!#REF!))),"")</f>
        <v/>
      </c>
      <c r="H88" s="44" t="str">
        <f ca="1">IFERROR(INDEX(FORPTB13!$K$4:$K$580,_xlfn.AGGREGATE(15,6,(ROW(FORPTB13!$B$4:$B$580)-ROW(FORPTB13!#REF!)+1)/((FORPTB13!$B$4:$B$580=$B$5)),ROW(FORPTB13!#REF!))),"")</f>
        <v/>
      </c>
      <c r="I88" s="44" t="str">
        <f ca="1">IFERROR(INDEX(FORPTB13!$T$4:$T$580,_xlfn.AGGREGATE(15,6,(ROW(FORPTB13!$B$4:$B$580)-ROW(FORPTB13!#REF!)+1)/((FORPTB13!$B$4:$B$580=$B$5)),ROW(FORPTB13!#REF!))),"")</f>
        <v/>
      </c>
      <c r="J88" s="46" t="str">
        <f ca="1">IFERROR(INDEX(FORPTB13!$I$4:$I$580,_xlfn.AGGREGATE(15,6,(ROW(FORPTB13!$B$4:$B$580)-ROW(FORPTB13!#REF!)+1)/((FORPTB13!$B$4:$B$580=$B$5)),ROW(FORPTB13!#REF!))),"")</f>
        <v/>
      </c>
      <c r="K88" s="45" t="str">
        <f ca="1">IFERROR(INDEX(FORPTB13!$N$4:$N$580,_xlfn.AGGREGATE(15,6,(ROW(FORPTB13!$B$4:$B$580)-ROW(FORPTB13!#REF!)+1)/((FORPTB13!$B$4:$B$580=$B$5)),ROW(FORPTB13!#REF!))),"")</f>
        <v/>
      </c>
      <c r="L88" s="45" t="str">
        <f t="shared" ca="1" si="4"/>
        <v xml:space="preserve">  </v>
      </c>
      <c r="M88" s="46" t="str">
        <f ca="1">IFERROR(INDEX(FORPTB13!$L$4:$L$580,_xlfn.AGGREGATE(15,6,(ROW(FORPTB13!$B$4:$B$580)-ROW(FORPTB13!#REF!)+1)/((FORPTB13!$B$4:$B$580=$B$5)),ROW(FORPTB13!#REF!))),"")</f>
        <v/>
      </c>
      <c r="N88" s="44" t="str">
        <f ca="1">IFERROR(INDEX(FORPTB13!$M$4:$M$580,_xlfn.AGGREGATE(15,6,(ROW(FORPTB13!$B$4:$B$580)-ROW(FORPTB13!#REF!)+1)/((FORPTB13!$B$4:$B$580=$B$5)),ROW(FORPTB13!#REF!))),"")</f>
        <v/>
      </c>
    </row>
    <row r="89" spans="4:14" ht="16.8" x14ac:dyDescent="0.4">
      <c r="D89" s="41" t="str">
        <f t="shared" ca="1" si="3"/>
        <v/>
      </c>
      <c r="E89" s="41" t="str">
        <f ca="1">IFERROR(INDEX(FORPTB13!$F$4:$F$580,_xlfn.AGGREGATE(15,6,(ROW(FORPTB13!$B$4:$B$580)-ROW(FORPTB13!#REF!)+1)/((FORPTB13!$B$4:$B$580=$B$5)),ROW(FORPTB13!#REF!))),"")</f>
        <v/>
      </c>
      <c r="F89" s="47" t="str">
        <f ca="1">IFERROR(INDEX(FORPTB13!$H$4:$H$580,_xlfn.AGGREGATE(15,6,(ROW(FORPTB13!$B$4:$B$580)-ROW(FORPTB13!#REF!)+1)/((FORPTB13!$B$4:$B$580=$B$5)),ROW(FORPTB13!#REF!))),"")</f>
        <v/>
      </c>
      <c r="G89" s="41" t="str">
        <f ca="1">IFERROR(INDEX(FORPTB13!$J$4:$J$580,_xlfn.AGGREGATE(15,6,(ROW(FORPTB13!$B$4:$B$580)-ROW(FORPTB13!#REF!)+1)/((FORPTB13!$B$4:$B$580=$B$5)),ROW(FORPTB13!#REF!))),"")</f>
        <v/>
      </c>
      <c r="H89" s="41" t="str">
        <f ca="1">IFERROR(INDEX(FORPTB13!$K$4:$K$580,_xlfn.AGGREGATE(15,6,(ROW(FORPTB13!$B$4:$B$580)-ROW(FORPTB13!#REF!)+1)/((FORPTB13!$B$4:$B$580=$B$5)),ROW(FORPTB13!#REF!))),"")</f>
        <v/>
      </c>
      <c r="I89" s="41" t="str">
        <f ca="1">IFERROR(INDEX(FORPTB13!$T$4:$T$580,_xlfn.AGGREGATE(15,6,(ROW(FORPTB13!$B$4:$B$580)-ROW(FORPTB13!#REF!)+1)/((FORPTB13!$B$4:$B$580=$B$5)),ROW(FORPTB13!#REF!))),"")</f>
        <v/>
      </c>
      <c r="J89" s="43" t="str">
        <f ca="1">IFERROR(INDEX(FORPTB13!$I$4:$I$580,_xlfn.AGGREGATE(15,6,(ROW(FORPTB13!$B$4:$B$580)-ROW(FORPTB13!#REF!)+1)/((FORPTB13!$B$4:$B$580=$B$5)),ROW(FORPTB13!#REF!))),"")</f>
        <v/>
      </c>
      <c r="K89" s="42" t="str">
        <f ca="1">IFERROR(INDEX(FORPTB13!$N$4:$N$580,_xlfn.AGGREGATE(15,6,(ROW(FORPTB13!$B$4:$B$580)-ROW(FORPTB13!#REF!)+1)/((FORPTB13!$B$4:$B$580=$B$5)),ROW(FORPTB13!#REF!))),"")</f>
        <v/>
      </c>
      <c r="L89" s="42" t="str">
        <f t="shared" ca="1" si="4"/>
        <v xml:space="preserve">  </v>
      </c>
      <c r="M89" s="43" t="str">
        <f ca="1">IFERROR(INDEX(FORPTB13!$L$4:$L$580,_xlfn.AGGREGATE(15,6,(ROW(FORPTB13!$B$4:$B$580)-ROW(FORPTB13!#REF!)+1)/((FORPTB13!$B$4:$B$580=$B$5)),ROW(FORPTB13!#REF!))),"")</f>
        <v/>
      </c>
      <c r="N89" s="41" t="str">
        <f ca="1">IFERROR(INDEX(FORPTB13!$M$4:$M$580,_xlfn.AGGREGATE(15,6,(ROW(FORPTB13!$B$4:$B$580)-ROW(FORPTB13!#REF!)+1)/((FORPTB13!$B$4:$B$580=$B$5)),ROW(FORPTB13!#REF!))),"")</f>
        <v/>
      </c>
    </row>
    <row r="90" spans="4:14" ht="16.8" x14ac:dyDescent="0.4">
      <c r="D90" s="44" t="str">
        <f t="shared" ca="1" si="3"/>
        <v/>
      </c>
      <c r="E90" s="44" t="str">
        <f ca="1">IFERROR(INDEX(FORPTB13!$F$4:$F$580,_xlfn.AGGREGATE(15,6,(ROW(FORPTB13!$B$4:$B$580)-ROW(FORPTB13!#REF!)+1)/((FORPTB13!$B$4:$B$580=$B$5)),ROW(FORPTB13!#REF!))),"")</f>
        <v/>
      </c>
      <c r="F90" s="44" t="str">
        <f ca="1">IFERROR(INDEX(FORPTB13!$H$4:$H$580,_xlfn.AGGREGATE(15,6,(ROW(FORPTB13!$B$4:$B$580)-ROW(FORPTB13!#REF!)+1)/((FORPTB13!$B$4:$B$580=$B$5)),ROW(FORPTB13!#REF!))),"")</f>
        <v/>
      </c>
      <c r="G90" s="44" t="str">
        <f ca="1">IFERROR(INDEX(FORPTB13!$J$4:$J$580,_xlfn.AGGREGATE(15,6,(ROW(FORPTB13!$B$4:$B$580)-ROW(FORPTB13!#REF!)+1)/((FORPTB13!$B$4:$B$580=$B$5)),ROW(FORPTB13!#REF!))),"")</f>
        <v/>
      </c>
      <c r="H90" s="44" t="str">
        <f ca="1">IFERROR(INDEX(FORPTB13!$K$4:$K$580,_xlfn.AGGREGATE(15,6,(ROW(FORPTB13!$B$4:$B$580)-ROW(FORPTB13!#REF!)+1)/((FORPTB13!$B$4:$B$580=$B$5)),ROW(FORPTB13!#REF!))),"")</f>
        <v/>
      </c>
      <c r="I90" s="44" t="str">
        <f ca="1">IFERROR(INDEX(FORPTB13!$T$4:$T$580,_xlfn.AGGREGATE(15,6,(ROW(FORPTB13!$B$4:$B$580)-ROW(FORPTB13!#REF!)+1)/((FORPTB13!$B$4:$B$580=$B$5)),ROW(FORPTB13!#REF!))),"")</f>
        <v/>
      </c>
      <c r="J90" s="46" t="str">
        <f ca="1">IFERROR(INDEX(FORPTB13!$I$4:$I$580,_xlfn.AGGREGATE(15,6,(ROW(FORPTB13!$B$4:$B$580)-ROW(FORPTB13!#REF!)+1)/((FORPTB13!$B$4:$B$580=$B$5)),ROW(FORPTB13!#REF!))),"")</f>
        <v/>
      </c>
      <c r="K90" s="45" t="str">
        <f ca="1">IFERROR(INDEX(FORPTB13!$N$4:$N$580,_xlfn.AGGREGATE(15,6,(ROW(FORPTB13!$B$4:$B$580)-ROW(FORPTB13!#REF!)+1)/((FORPTB13!$B$4:$B$580=$B$5)),ROW(FORPTB13!#REF!))),"")</f>
        <v/>
      </c>
      <c r="L90" s="45" t="str">
        <f t="shared" ca="1" si="4"/>
        <v xml:space="preserve">  </v>
      </c>
      <c r="M90" s="46" t="str">
        <f ca="1">IFERROR(INDEX(FORPTB13!$L$4:$L$580,_xlfn.AGGREGATE(15,6,(ROW(FORPTB13!$B$4:$B$580)-ROW(FORPTB13!#REF!)+1)/((FORPTB13!$B$4:$B$580=$B$5)),ROW(FORPTB13!#REF!))),"")</f>
        <v/>
      </c>
      <c r="N90" s="44" t="str">
        <f ca="1">IFERROR(INDEX(FORPTB13!$M$4:$M$580,_xlfn.AGGREGATE(15,6,(ROW(FORPTB13!$B$4:$B$580)-ROW(FORPTB13!#REF!)+1)/((FORPTB13!$B$4:$B$580=$B$5)),ROW(FORPTB13!#REF!))),"")</f>
        <v/>
      </c>
    </row>
    <row r="91" spans="4:14" ht="16.8" x14ac:dyDescent="0.4">
      <c r="D91" s="41" t="str">
        <f t="shared" ca="1" si="3"/>
        <v/>
      </c>
      <c r="E91" s="41" t="str">
        <f ca="1">IFERROR(INDEX(FORPTB13!$F$4:$F$580,_xlfn.AGGREGATE(15,6,(ROW(FORPTB13!$B$4:$B$580)-ROW(FORPTB13!#REF!)+1)/((FORPTB13!$B$4:$B$580=$B$5)),ROW(FORPTB13!#REF!))),"")</f>
        <v/>
      </c>
      <c r="F91" s="47" t="str">
        <f ca="1">IFERROR(INDEX(FORPTB13!$H$4:$H$580,_xlfn.AGGREGATE(15,6,(ROW(FORPTB13!$B$4:$B$580)-ROW(FORPTB13!#REF!)+1)/((FORPTB13!$B$4:$B$580=$B$5)),ROW(FORPTB13!#REF!))),"")</f>
        <v/>
      </c>
      <c r="G91" s="41" t="str">
        <f ca="1">IFERROR(INDEX(FORPTB13!$J$4:$J$580,_xlfn.AGGREGATE(15,6,(ROW(FORPTB13!$B$4:$B$580)-ROW(FORPTB13!#REF!)+1)/((FORPTB13!$B$4:$B$580=$B$5)),ROW(FORPTB13!#REF!))),"")</f>
        <v/>
      </c>
      <c r="H91" s="41" t="str">
        <f ca="1">IFERROR(INDEX(FORPTB13!$K$4:$K$580,_xlfn.AGGREGATE(15,6,(ROW(FORPTB13!$B$4:$B$580)-ROW(FORPTB13!#REF!)+1)/((FORPTB13!$B$4:$B$580=$B$5)),ROW(FORPTB13!#REF!))),"")</f>
        <v/>
      </c>
      <c r="I91" s="41" t="str">
        <f ca="1">IFERROR(INDEX(FORPTB13!$T$4:$T$580,_xlfn.AGGREGATE(15,6,(ROW(FORPTB13!$B$4:$B$580)-ROW(FORPTB13!#REF!)+1)/((FORPTB13!$B$4:$B$580=$B$5)),ROW(FORPTB13!#REF!))),"")</f>
        <v/>
      </c>
      <c r="J91" s="43" t="str">
        <f ca="1">IFERROR(INDEX(FORPTB13!$I$4:$I$580,_xlfn.AGGREGATE(15,6,(ROW(FORPTB13!$B$4:$B$580)-ROW(FORPTB13!#REF!)+1)/((FORPTB13!$B$4:$B$580=$B$5)),ROW(FORPTB13!#REF!))),"")</f>
        <v/>
      </c>
      <c r="K91" s="42" t="str">
        <f ca="1">IFERROR(INDEX(FORPTB13!$N$4:$N$580,_xlfn.AGGREGATE(15,6,(ROW(FORPTB13!$B$4:$B$580)-ROW(FORPTB13!#REF!)+1)/((FORPTB13!$B$4:$B$580=$B$5)),ROW(FORPTB13!#REF!))),"")</f>
        <v/>
      </c>
      <c r="L91" s="42" t="str">
        <f t="shared" ca="1" si="4"/>
        <v xml:space="preserve">  </v>
      </c>
      <c r="M91" s="43" t="str">
        <f ca="1">IFERROR(INDEX(FORPTB13!$L$4:$L$580,_xlfn.AGGREGATE(15,6,(ROW(FORPTB13!$B$4:$B$580)-ROW(FORPTB13!#REF!)+1)/((FORPTB13!$B$4:$B$580=$B$5)),ROW(FORPTB13!#REF!))),"")</f>
        <v/>
      </c>
      <c r="N91" s="41" t="str">
        <f ca="1">IFERROR(INDEX(FORPTB13!$M$4:$M$580,_xlfn.AGGREGATE(15,6,(ROW(FORPTB13!$B$4:$B$580)-ROW(FORPTB13!#REF!)+1)/((FORPTB13!$B$4:$B$580=$B$5)),ROW(FORPTB13!#REF!))),"")</f>
        <v/>
      </c>
    </row>
    <row r="92" spans="4:14" ht="16.8" x14ac:dyDescent="0.4">
      <c r="D92" s="44" t="str">
        <f t="shared" ca="1" si="3"/>
        <v/>
      </c>
      <c r="E92" s="44" t="str">
        <f ca="1">IFERROR(INDEX(FORPTB13!$F$4:$F$580,_xlfn.AGGREGATE(15,6,(ROW(FORPTB13!$B$4:$B$580)-ROW(FORPTB13!#REF!)+1)/((FORPTB13!$B$4:$B$580=$B$5)),ROW(FORPTB13!#REF!))),"")</f>
        <v/>
      </c>
      <c r="F92" s="44" t="str">
        <f ca="1">IFERROR(INDEX(FORPTB13!$H$4:$H$580,_xlfn.AGGREGATE(15,6,(ROW(FORPTB13!$B$4:$B$580)-ROW(FORPTB13!#REF!)+1)/((FORPTB13!$B$4:$B$580=$B$5)),ROW(FORPTB13!#REF!))),"")</f>
        <v/>
      </c>
      <c r="G92" s="44" t="str">
        <f ca="1">IFERROR(INDEX(FORPTB13!$J$4:$J$580,_xlfn.AGGREGATE(15,6,(ROW(FORPTB13!$B$4:$B$580)-ROW(FORPTB13!#REF!)+1)/((FORPTB13!$B$4:$B$580=$B$5)),ROW(FORPTB13!#REF!))),"")</f>
        <v/>
      </c>
      <c r="H92" s="44" t="str">
        <f ca="1">IFERROR(INDEX(FORPTB13!$K$4:$K$580,_xlfn.AGGREGATE(15,6,(ROW(FORPTB13!$B$4:$B$580)-ROW(FORPTB13!#REF!)+1)/((FORPTB13!$B$4:$B$580=$B$5)),ROW(FORPTB13!#REF!))),"")</f>
        <v/>
      </c>
      <c r="I92" s="44" t="str">
        <f ca="1">IFERROR(INDEX(FORPTB13!$T$4:$T$580,_xlfn.AGGREGATE(15,6,(ROW(FORPTB13!$B$4:$B$580)-ROW(FORPTB13!#REF!)+1)/((FORPTB13!$B$4:$B$580=$B$5)),ROW(FORPTB13!#REF!))),"")</f>
        <v/>
      </c>
      <c r="J92" s="46" t="str">
        <f ca="1">IFERROR(INDEX(FORPTB13!$I$4:$I$580,_xlfn.AGGREGATE(15,6,(ROW(FORPTB13!$B$4:$B$580)-ROW(FORPTB13!#REF!)+1)/((FORPTB13!$B$4:$B$580=$B$5)),ROW(FORPTB13!#REF!))),"")</f>
        <v/>
      </c>
      <c r="K92" s="45" t="str">
        <f ca="1">IFERROR(INDEX(FORPTB13!$N$4:$N$580,_xlfn.AGGREGATE(15,6,(ROW(FORPTB13!$B$4:$B$580)-ROW(FORPTB13!#REF!)+1)/((FORPTB13!$B$4:$B$580=$B$5)),ROW(FORPTB13!#REF!))),"")</f>
        <v/>
      </c>
      <c r="L92" s="45" t="str">
        <f t="shared" ca="1" si="4"/>
        <v xml:space="preserve">  </v>
      </c>
      <c r="M92" s="46" t="str">
        <f ca="1">IFERROR(INDEX(FORPTB13!$L$4:$L$580,_xlfn.AGGREGATE(15,6,(ROW(FORPTB13!$B$4:$B$580)-ROW(FORPTB13!#REF!)+1)/((FORPTB13!$B$4:$B$580=$B$5)),ROW(FORPTB13!#REF!))),"")</f>
        <v/>
      </c>
      <c r="N92" s="44" t="str">
        <f ca="1">IFERROR(INDEX(FORPTB13!$M$4:$M$580,_xlfn.AGGREGATE(15,6,(ROW(FORPTB13!$B$4:$B$580)-ROW(FORPTB13!#REF!)+1)/((FORPTB13!$B$4:$B$580=$B$5)),ROW(FORPTB13!#REF!))),"")</f>
        <v/>
      </c>
    </row>
    <row r="93" spans="4:14" ht="16.8" x14ac:dyDescent="0.4">
      <c r="D93" s="41" t="str">
        <f t="shared" ca="1" si="3"/>
        <v/>
      </c>
      <c r="E93" s="41" t="str">
        <f ca="1">IFERROR(INDEX(FORPTB13!$F$4:$F$580,_xlfn.AGGREGATE(15,6,(ROW(FORPTB13!$B$4:$B$580)-ROW(FORPTB13!#REF!)+1)/((FORPTB13!$B$4:$B$580=$B$5)),ROW(FORPTB13!#REF!))),"")</f>
        <v/>
      </c>
      <c r="F93" s="47" t="str">
        <f ca="1">IFERROR(INDEX(FORPTB13!$H$4:$H$580,_xlfn.AGGREGATE(15,6,(ROW(FORPTB13!$B$4:$B$580)-ROW(FORPTB13!#REF!)+1)/((FORPTB13!$B$4:$B$580=$B$5)),ROW(FORPTB13!#REF!))),"")</f>
        <v/>
      </c>
      <c r="G93" s="41" t="str">
        <f ca="1">IFERROR(INDEX(FORPTB13!$J$4:$J$580,_xlfn.AGGREGATE(15,6,(ROW(FORPTB13!$B$4:$B$580)-ROW(FORPTB13!#REF!)+1)/((FORPTB13!$B$4:$B$580=$B$5)),ROW(FORPTB13!#REF!))),"")</f>
        <v/>
      </c>
      <c r="H93" s="41" t="str">
        <f ca="1">IFERROR(INDEX(FORPTB13!$K$4:$K$580,_xlfn.AGGREGATE(15,6,(ROW(FORPTB13!$B$4:$B$580)-ROW(FORPTB13!#REF!)+1)/((FORPTB13!$B$4:$B$580=$B$5)),ROW(FORPTB13!#REF!))),"")</f>
        <v/>
      </c>
      <c r="I93" s="41" t="str">
        <f ca="1">IFERROR(INDEX(FORPTB13!$T$4:$T$580,_xlfn.AGGREGATE(15,6,(ROW(FORPTB13!$B$4:$B$580)-ROW(FORPTB13!#REF!)+1)/((FORPTB13!$B$4:$B$580=$B$5)),ROW(FORPTB13!#REF!))),"")</f>
        <v/>
      </c>
      <c r="J93" s="43" t="str">
        <f ca="1">IFERROR(INDEX(FORPTB13!$I$4:$I$580,_xlfn.AGGREGATE(15,6,(ROW(FORPTB13!$B$4:$B$580)-ROW(FORPTB13!#REF!)+1)/((FORPTB13!$B$4:$B$580=$B$5)),ROW(FORPTB13!#REF!))),"")</f>
        <v/>
      </c>
      <c r="K93" s="42" t="str">
        <f ca="1">IFERROR(INDEX(FORPTB13!$N$4:$N$580,_xlfn.AGGREGATE(15,6,(ROW(FORPTB13!$B$4:$B$580)-ROW(FORPTB13!#REF!)+1)/((FORPTB13!$B$4:$B$580=$B$5)),ROW(FORPTB13!#REF!))),"")</f>
        <v/>
      </c>
      <c r="L93" s="42" t="str">
        <f t="shared" ca="1" si="4"/>
        <v xml:space="preserve">  </v>
      </c>
      <c r="M93" s="43" t="str">
        <f ca="1">IFERROR(INDEX(FORPTB13!$L$4:$L$580,_xlfn.AGGREGATE(15,6,(ROW(FORPTB13!$B$4:$B$580)-ROW(FORPTB13!#REF!)+1)/((FORPTB13!$B$4:$B$580=$B$5)),ROW(FORPTB13!#REF!))),"")</f>
        <v/>
      </c>
      <c r="N93" s="41" t="str">
        <f ca="1">IFERROR(INDEX(FORPTB13!$M$4:$M$580,_xlfn.AGGREGATE(15,6,(ROW(FORPTB13!$B$4:$B$580)-ROW(FORPTB13!#REF!)+1)/((FORPTB13!$B$4:$B$580=$B$5)),ROW(FORPTB13!#REF!))),"")</f>
        <v/>
      </c>
    </row>
    <row r="94" spans="4:14" ht="16.8" x14ac:dyDescent="0.4">
      <c r="D94" s="44" t="str">
        <f t="shared" ca="1" si="3"/>
        <v/>
      </c>
      <c r="E94" s="44" t="str">
        <f ca="1">IFERROR(INDEX(FORPTB13!$F$4:$F$580,_xlfn.AGGREGATE(15,6,(ROW(FORPTB13!$B$4:$B$580)-ROW(FORPTB13!#REF!)+1)/((FORPTB13!$B$4:$B$580=$B$5)),ROW(FORPTB13!#REF!))),"")</f>
        <v/>
      </c>
      <c r="F94" s="44" t="str">
        <f ca="1">IFERROR(INDEX(FORPTB13!$H$4:$H$580,_xlfn.AGGREGATE(15,6,(ROW(FORPTB13!$B$4:$B$580)-ROW(FORPTB13!#REF!)+1)/((FORPTB13!$B$4:$B$580=$B$5)),ROW(FORPTB13!#REF!))),"")</f>
        <v/>
      </c>
      <c r="G94" s="44" t="str">
        <f ca="1">IFERROR(INDEX(FORPTB13!$J$4:$J$580,_xlfn.AGGREGATE(15,6,(ROW(FORPTB13!$B$4:$B$580)-ROW(FORPTB13!#REF!)+1)/((FORPTB13!$B$4:$B$580=$B$5)),ROW(FORPTB13!#REF!))),"")</f>
        <v/>
      </c>
      <c r="H94" s="44" t="str">
        <f ca="1">IFERROR(INDEX(FORPTB13!$K$4:$K$580,_xlfn.AGGREGATE(15,6,(ROW(FORPTB13!$B$4:$B$580)-ROW(FORPTB13!#REF!)+1)/((FORPTB13!$B$4:$B$580=$B$5)),ROW(FORPTB13!#REF!))),"")</f>
        <v/>
      </c>
      <c r="I94" s="44" t="str">
        <f ca="1">IFERROR(INDEX(FORPTB13!$T$4:$T$580,_xlfn.AGGREGATE(15,6,(ROW(FORPTB13!$B$4:$B$580)-ROW(FORPTB13!#REF!)+1)/((FORPTB13!$B$4:$B$580=$B$5)),ROW(FORPTB13!#REF!))),"")</f>
        <v/>
      </c>
      <c r="J94" s="46" t="str">
        <f ca="1">IFERROR(INDEX(FORPTB13!$I$4:$I$580,_xlfn.AGGREGATE(15,6,(ROW(FORPTB13!$B$4:$B$580)-ROW(FORPTB13!#REF!)+1)/((FORPTB13!$B$4:$B$580=$B$5)),ROW(FORPTB13!#REF!))),"")</f>
        <v/>
      </c>
      <c r="K94" s="45" t="str">
        <f ca="1">IFERROR(INDEX(FORPTB13!$N$4:$N$580,_xlfn.AGGREGATE(15,6,(ROW(FORPTB13!$B$4:$B$580)-ROW(FORPTB13!#REF!)+1)/((FORPTB13!$B$4:$B$580=$B$5)),ROW(FORPTB13!#REF!))),"")</f>
        <v/>
      </c>
      <c r="L94" s="45" t="str">
        <f t="shared" ca="1" si="4"/>
        <v xml:space="preserve">  </v>
      </c>
      <c r="M94" s="46" t="str">
        <f ca="1">IFERROR(INDEX(FORPTB13!$L$4:$L$580,_xlfn.AGGREGATE(15,6,(ROW(FORPTB13!$B$4:$B$580)-ROW(FORPTB13!#REF!)+1)/((FORPTB13!$B$4:$B$580=$B$5)),ROW(FORPTB13!#REF!))),"")</f>
        <v/>
      </c>
      <c r="N94" s="44" t="str">
        <f ca="1">IFERROR(INDEX(FORPTB13!$M$4:$M$580,_xlfn.AGGREGATE(15,6,(ROW(FORPTB13!$B$4:$B$580)-ROW(FORPTB13!#REF!)+1)/((FORPTB13!$B$4:$B$580=$B$5)),ROW(FORPTB13!#REF!))),"")</f>
        <v/>
      </c>
    </row>
    <row r="95" spans="4:14" ht="16.8" x14ac:dyDescent="0.4">
      <c r="D95" s="41" t="str">
        <f t="shared" ca="1" si="3"/>
        <v/>
      </c>
      <c r="E95" s="41" t="str">
        <f ca="1">IFERROR(INDEX(FORPTB13!$F$4:$F$580,_xlfn.AGGREGATE(15,6,(ROW(FORPTB13!$B$4:$B$580)-ROW(FORPTB13!#REF!)+1)/((FORPTB13!$B$4:$B$580=$B$5)),ROW(FORPTB13!#REF!))),"")</f>
        <v/>
      </c>
      <c r="F95" s="47" t="str">
        <f ca="1">IFERROR(INDEX(FORPTB13!$H$4:$H$580,_xlfn.AGGREGATE(15,6,(ROW(FORPTB13!$B$4:$B$580)-ROW(FORPTB13!#REF!)+1)/((FORPTB13!$B$4:$B$580=$B$5)),ROW(FORPTB13!#REF!))),"")</f>
        <v/>
      </c>
      <c r="G95" s="41" t="str">
        <f ca="1">IFERROR(INDEX(FORPTB13!$J$4:$J$580,_xlfn.AGGREGATE(15,6,(ROW(FORPTB13!$B$4:$B$580)-ROW(FORPTB13!#REF!)+1)/((FORPTB13!$B$4:$B$580=$B$5)),ROW(FORPTB13!#REF!))),"")</f>
        <v/>
      </c>
      <c r="H95" s="41" t="str">
        <f ca="1">IFERROR(INDEX(FORPTB13!$K$4:$K$580,_xlfn.AGGREGATE(15,6,(ROW(FORPTB13!$B$4:$B$580)-ROW(FORPTB13!#REF!)+1)/((FORPTB13!$B$4:$B$580=$B$5)),ROW(FORPTB13!#REF!))),"")</f>
        <v/>
      </c>
      <c r="I95" s="41" t="str">
        <f ca="1">IFERROR(INDEX(FORPTB13!$T$4:$T$580,_xlfn.AGGREGATE(15,6,(ROW(FORPTB13!$B$4:$B$580)-ROW(FORPTB13!#REF!)+1)/((FORPTB13!$B$4:$B$580=$B$5)),ROW(FORPTB13!#REF!))),"")</f>
        <v/>
      </c>
      <c r="J95" s="43" t="str">
        <f ca="1">IFERROR(INDEX(FORPTB13!$I$4:$I$580,_xlfn.AGGREGATE(15,6,(ROW(FORPTB13!$B$4:$B$580)-ROW(FORPTB13!#REF!)+1)/((FORPTB13!$B$4:$B$580=$B$5)),ROW(FORPTB13!#REF!))),"")</f>
        <v/>
      </c>
      <c r="K95" s="42" t="str">
        <f ca="1">IFERROR(INDEX(FORPTB13!$N$4:$N$580,_xlfn.AGGREGATE(15,6,(ROW(FORPTB13!$B$4:$B$580)-ROW(FORPTB13!#REF!)+1)/((FORPTB13!$B$4:$B$580=$B$5)),ROW(FORPTB13!#REF!))),"")</f>
        <v/>
      </c>
      <c r="L95" s="42" t="str">
        <f t="shared" ca="1" si="4"/>
        <v xml:space="preserve">  </v>
      </c>
      <c r="M95" s="43" t="str">
        <f ca="1">IFERROR(INDEX(FORPTB13!$L$4:$L$580,_xlfn.AGGREGATE(15,6,(ROW(FORPTB13!$B$4:$B$580)-ROW(FORPTB13!#REF!)+1)/((FORPTB13!$B$4:$B$580=$B$5)),ROW(FORPTB13!#REF!))),"")</f>
        <v/>
      </c>
      <c r="N95" s="41" t="str">
        <f ca="1">IFERROR(INDEX(FORPTB13!$M$4:$M$580,_xlfn.AGGREGATE(15,6,(ROW(FORPTB13!$B$4:$B$580)-ROW(FORPTB13!#REF!)+1)/((FORPTB13!$B$4:$B$580=$B$5)),ROW(FORPTB13!#REF!))),"")</f>
        <v/>
      </c>
    </row>
    <row r="96" spans="4:14" ht="16.8" x14ac:dyDescent="0.4">
      <c r="D96" s="44" t="str">
        <f t="shared" ca="1" si="3"/>
        <v/>
      </c>
      <c r="E96" s="44" t="str">
        <f ca="1">IFERROR(INDEX(FORPTB13!$F$4:$F$580,_xlfn.AGGREGATE(15,6,(ROW(FORPTB13!$B$4:$B$580)-ROW(FORPTB13!#REF!)+1)/((FORPTB13!$B$4:$B$580=$B$5)),ROW(FORPTB13!#REF!))),"")</f>
        <v/>
      </c>
      <c r="F96" s="44" t="str">
        <f ca="1">IFERROR(INDEX(FORPTB13!$H$4:$H$580,_xlfn.AGGREGATE(15,6,(ROW(FORPTB13!$B$4:$B$580)-ROW(FORPTB13!#REF!)+1)/((FORPTB13!$B$4:$B$580=$B$5)),ROW(FORPTB13!#REF!))),"")</f>
        <v/>
      </c>
      <c r="G96" s="44" t="str">
        <f ca="1">IFERROR(INDEX(FORPTB13!$J$4:$J$580,_xlfn.AGGREGATE(15,6,(ROW(FORPTB13!$B$4:$B$580)-ROW(FORPTB13!#REF!)+1)/((FORPTB13!$B$4:$B$580=$B$5)),ROW(FORPTB13!#REF!))),"")</f>
        <v/>
      </c>
      <c r="H96" s="44" t="str">
        <f ca="1">IFERROR(INDEX(FORPTB13!$K$4:$K$580,_xlfn.AGGREGATE(15,6,(ROW(FORPTB13!$B$4:$B$580)-ROW(FORPTB13!#REF!)+1)/((FORPTB13!$B$4:$B$580=$B$5)),ROW(FORPTB13!#REF!))),"")</f>
        <v/>
      </c>
      <c r="I96" s="44" t="str">
        <f ca="1">IFERROR(INDEX(FORPTB13!$T$4:$T$580,_xlfn.AGGREGATE(15,6,(ROW(FORPTB13!$B$4:$B$580)-ROW(FORPTB13!#REF!)+1)/((FORPTB13!$B$4:$B$580=$B$5)),ROW(FORPTB13!#REF!))),"")</f>
        <v/>
      </c>
      <c r="J96" s="46" t="str">
        <f ca="1">IFERROR(INDEX(FORPTB13!$I$4:$I$580,_xlfn.AGGREGATE(15,6,(ROW(FORPTB13!$B$4:$B$580)-ROW(FORPTB13!#REF!)+1)/((FORPTB13!$B$4:$B$580=$B$5)),ROW(FORPTB13!#REF!))),"")</f>
        <v/>
      </c>
      <c r="K96" s="45" t="str">
        <f ca="1">IFERROR(INDEX(FORPTB13!$N$4:$N$580,_xlfn.AGGREGATE(15,6,(ROW(FORPTB13!$B$4:$B$580)-ROW(FORPTB13!#REF!)+1)/((FORPTB13!$B$4:$B$580=$B$5)),ROW(FORPTB13!#REF!))),"")</f>
        <v/>
      </c>
      <c r="L96" s="45" t="str">
        <f t="shared" ca="1" si="4"/>
        <v xml:space="preserve">  </v>
      </c>
      <c r="M96" s="46" t="str">
        <f ca="1">IFERROR(INDEX(FORPTB13!$L$4:$L$580,_xlfn.AGGREGATE(15,6,(ROW(FORPTB13!$B$4:$B$580)-ROW(FORPTB13!#REF!)+1)/((FORPTB13!$B$4:$B$580=$B$5)),ROW(FORPTB13!#REF!))),"")</f>
        <v/>
      </c>
      <c r="N96" s="44" t="str">
        <f ca="1">IFERROR(INDEX(FORPTB13!$M$4:$M$580,_xlfn.AGGREGATE(15,6,(ROW(FORPTB13!$B$4:$B$580)-ROW(FORPTB13!#REF!)+1)/((FORPTB13!$B$4:$B$580=$B$5)),ROW(FORPTB13!#REF!))),"")</f>
        <v/>
      </c>
    </row>
    <row r="97" spans="4:14" ht="16.8" x14ac:dyDescent="0.4">
      <c r="D97" s="41" t="str">
        <f t="shared" ca="1" si="3"/>
        <v/>
      </c>
      <c r="E97" s="41" t="str">
        <f ca="1">IFERROR(INDEX(FORPTB13!$F$4:$F$580,_xlfn.AGGREGATE(15,6,(ROW(FORPTB13!$B$4:$B$580)-ROW(FORPTB13!#REF!)+1)/((FORPTB13!$B$4:$B$580=$B$5)),ROW(FORPTB13!#REF!))),"")</f>
        <v/>
      </c>
      <c r="F97" s="47" t="str">
        <f ca="1">IFERROR(INDEX(FORPTB13!$H$4:$H$580,_xlfn.AGGREGATE(15,6,(ROW(FORPTB13!$B$4:$B$580)-ROW(FORPTB13!#REF!)+1)/((FORPTB13!$B$4:$B$580=$B$5)),ROW(FORPTB13!#REF!))),"")</f>
        <v/>
      </c>
      <c r="G97" s="41" t="str">
        <f ca="1">IFERROR(INDEX(FORPTB13!$J$4:$J$580,_xlfn.AGGREGATE(15,6,(ROW(FORPTB13!$B$4:$B$580)-ROW(FORPTB13!#REF!)+1)/((FORPTB13!$B$4:$B$580=$B$5)),ROW(FORPTB13!#REF!))),"")</f>
        <v/>
      </c>
      <c r="H97" s="41" t="str">
        <f ca="1">IFERROR(INDEX(FORPTB13!$K$4:$K$580,_xlfn.AGGREGATE(15,6,(ROW(FORPTB13!$B$4:$B$580)-ROW(FORPTB13!#REF!)+1)/((FORPTB13!$B$4:$B$580=$B$5)),ROW(FORPTB13!#REF!))),"")</f>
        <v/>
      </c>
      <c r="I97" s="41" t="str">
        <f ca="1">IFERROR(INDEX(FORPTB13!$T$4:$T$580,_xlfn.AGGREGATE(15,6,(ROW(FORPTB13!$B$4:$B$580)-ROW(FORPTB13!#REF!)+1)/((FORPTB13!$B$4:$B$580=$B$5)),ROW(FORPTB13!#REF!))),"")</f>
        <v/>
      </c>
      <c r="J97" s="43" t="str">
        <f ca="1">IFERROR(INDEX(FORPTB13!$I$4:$I$580,_xlfn.AGGREGATE(15,6,(ROW(FORPTB13!$B$4:$B$580)-ROW(FORPTB13!#REF!)+1)/((FORPTB13!$B$4:$B$580=$B$5)),ROW(FORPTB13!#REF!))),"")</f>
        <v/>
      </c>
      <c r="K97" s="42" t="str">
        <f ca="1">IFERROR(INDEX(FORPTB13!$N$4:$N$580,_xlfn.AGGREGATE(15,6,(ROW(FORPTB13!$B$4:$B$580)-ROW(FORPTB13!#REF!)+1)/((FORPTB13!$B$4:$B$580=$B$5)),ROW(FORPTB13!#REF!))),"")</f>
        <v/>
      </c>
      <c r="L97" s="42" t="str">
        <f t="shared" ca="1" si="4"/>
        <v xml:space="preserve">  </v>
      </c>
      <c r="M97" s="43" t="str">
        <f ca="1">IFERROR(INDEX(FORPTB13!$L$4:$L$580,_xlfn.AGGREGATE(15,6,(ROW(FORPTB13!$B$4:$B$580)-ROW(FORPTB13!#REF!)+1)/((FORPTB13!$B$4:$B$580=$B$5)),ROW(FORPTB13!#REF!))),"")</f>
        <v/>
      </c>
      <c r="N97" s="41" t="str">
        <f ca="1">IFERROR(INDEX(FORPTB13!$M$4:$M$580,_xlfn.AGGREGATE(15,6,(ROW(FORPTB13!$B$4:$B$580)-ROW(FORPTB13!#REF!)+1)/((FORPTB13!$B$4:$B$580=$B$5)),ROW(FORPTB13!#REF!))),"")</f>
        <v/>
      </c>
    </row>
    <row r="98" spans="4:14" ht="16.8" x14ac:dyDescent="0.4">
      <c r="D98" s="44" t="str">
        <f t="shared" ca="1" si="3"/>
        <v/>
      </c>
      <c r="E98" s="44" t="str">
        <f ca="1">IFERROR(INDEX(FORPTB13!$F$4:$F$580,_xlfn.AGGREGATE(15,6,(ROW(FORPTB13!$B$4:$B$580)-ROW(FORPTB13!#REF!)+1)/((FORPTB13!$B$4:$B$580=$B$5)),ROW(FORPTB13!#REF!))),"")</f>
        <v/>
      </c>
      <c r="F98" s="44" t="str">
        <f ca="1">IFERROR(INDEX(FORPTB13!$H$4:$H$580,_xlfn.AGGREGATE(15,6,(ROW(FORPTB13!$B$4:$B$580)-ROW(FORPTB13!#REF!)+1)/((FORPTB13!$B$4:$B$580=$B$5)),ROW(FORPTB13!#REF!))),"")</f>
        <v/>
      </c>
      <c r="G98" s="44" t="str">
        <f ca="1">IFERROR(INDEX(FORPTB13!$J$4:$J$580,_xlfn.AGGREGATE(15,6,(ROW(FORPTB13!$B$4:$B$580)-ROW(FORPTB13!#REF!)+1)/((FORPTB13!$B$4:$B$580=$B$5)),ROW(FORPTB13!#REF!))),"")</f>
        <v/>
      </c>
      <c r="H98" s="44" t="str">
        <f ca="1">IFERROR(INDEX(FORPTB13!$K$4:$K$580,_xlfn.AGGREGATE(15,6,(ROW(FORPTB13!$B$4:$B$580)-ROW(FORPTB13!#REF!)+1)/((FORPTB13!$B$4:$B$580=$B$5)),ROW(FORPTB13!#REF!))),"")</f>
        <v/>
      </c>
      <c r="I98" s="44" t="str">
        <f ca="1">IFERROR(INDEX(FORPTB13!$T$4:$T$580,_xlfn.AGGREGATE(15,6,(ROW(FORPTB13!$B$4:$B$580)-ROW(FORPTB13!#REF!)+1)/((FORPTB13!$B$4:$B$580=$B$5)),ROW(FORPTB13!#REF!))),"")</f>
        <v/>
      </c>
      <c r="J98" s="46" t="str">
        <f ca="1">IFERROR(INDEX(FORPTB13!$I$4:$I$580,_xlfn.AGGREGATE(15,6,(ROW(FORPTB13!$B$4:$B$580)-ROW(FORPTB13!#REF!)+1)/((FORPTB13!$B$4:$B$580=$B$5)),ROW(FORPTB13!#REF!))),"")</f>
        <v/>
      </c>
      <c r="K98" s="45" t="str">
        <f ca="1">IFERROR(INDEX(FORPTB13!$N$4:$N$580,_xlfn.AGGREGATE(15,6,(ROW(FORPTB13!$B$4:$B$580)-ROW(FORPTB13!#REF!)+1)/((FORPTB13!$B$4:$B$580=$B$5)),ROW(FORPTB13!#REF!))),"")</f>
        <v/>
      </c>
      <c r="L98" s="45" t="str">
        <f t="shared" ca="1" si="4"/>
        <v xml:space="preserve">  </v>
      </c>
      <c r="M98" s="46" t="str">
        <f ca="1">IFERROR(INDEX(FORPTB13!$L$4:$L$580,_xlfn.AGGREGATE(15,6,(ROW(FORPTB13!$B$4:$B$580)-ROW(FORPTB13!#REF!)+1)/((FORPTB13!$B$4:$B$580=$B$5)),ROW(FORPTB13!#REF!))),"")</f>
        <v/>
      </c>
      <c r="N98" s="44" t="str">
        <f ca="1">IFERROR(INDEX(FORPTB13!$M$4:$M$580,_xlfn.AGGREGATE(15,6,(ROW(FORPTB13!$B$4:$B$580)-ROW(FORPTB13!#REF!)+1)/((FORPTB13!$B$4:$B$580=$B$5)),ROW(FORPTB13!#REF!))),"")</f>
        <v/>
      </c>
    </row>
    <row r="99" spans="4:14" ht="16.8" x14ac:dyDescent="0.4">
      <c r="D99" s="41" t="str">
        <f t="shared" ca="1" si="3"/>
        <v/>
      </c>
      <c r="E99" s="41" t="str">
        <f ca="1">IFERROR(INDEX(FORPTB13!$F$4:$F$580,_xlfn.AGGREGATE(15,6,(ROW(FORPTB13!$B$4:$B$580)-ROW(FORPTB13!#REF!)+1)/((FORPTB13!$B$4:$B$580=$B$5)),ROW(FORPTB13!#REF!))),"")</f>
        <v/>
      </c>
      <c r="F99" s="47" t="str">
        <f ca="1">IFERROR(INDEX(FORPTB13!$H$4:$H$580,_xlfn.AGGREGATE(15,6,(ROW(FORPTB13!$B$4:$B$580)-ROW(FORPTB13!#REF!)+1)/((FORPTB13!$B$4:$B$580=$B$5)),ROW(FORPTB13!#REF!))),"")</f>
        <v/>
      </c>
      <c r="G99" s="41" t="str">
        <f ca="1">IFERROR(INDEX(FORPTB13!$J$4:$J$580,_xlfn.AGGREGATE(15,6,(ROW(FORPTB13!$B$4:$B$580)-ROW(FORPTB13!#REF!)+1)/((FORPTB13!$B$4:$B$580=$B$5)),ROW(FORPTB13!#REF!))),"")</f>
        <v/>
      </c>
      <c r="H99" s="41" t="str">
        <f ca="1">IFERROR(INDEX(FORPTB13!$K$4:$K$580,_xlfn.AGGREGATE(15,6,(ROW(FORPTB13!$B$4:$B$580)-ROW(FORPTB13!#REF!)+1)/((FORPTB13!$B$4:$B$580=$B$5)),ROW(FORPTB13!#REF!))),"")</f>
        <v/>
      </c>
      <c r="I99" s="41" t="str">
        <f ca="1">IFERROR(INDEX(FORPTB13!$T$4:$T$580,_xlfn.AGGREGATE(15,6,(ROW(FORPTB13!$B$4:$B$580)-ROW(FORPTB13!#REF!)+1)/((FORPTB13!$B$4:$B$580=$B$5)),ROW(FORPTB13!#REF!))),"")</f>
        <v/>
      </c>
      <c r="J99" s="43" t="str">
        <f ca="1">IFERROR(INDEX(FORPTB13!$I$4:$I$580,_xlfn.AGGREGATE(15,6,(ROW(FORPTB13!$B$4:$B$580)-ROW(FORPTB13!#REF!)+1)/((FORPTB13!$B$4:$B$580=$B$5)),ROW(FORPTB13!#REF!))),"")</f>
        <v/>
      </c>
      <c r="K99" s="42" t="str">
        <f ca="1">IFERROR(INDEX(FORPTB13!$N$4:$N$580,_xlfn.AGGREGATE(15,6,(ROW(FORPTB13!$B$4:$B$580)-ROW(FORPTB13!#REF!)+1)/((FORPTB13!$B$4:$B$580=$B$5)),ROW(FORPTB13!#REF!))),"")</f>
        <v/>
      </c>
      <c r="L99" s="42" t="str">
        <f t="shared" ca="1" si="4"/>
        <v xml:space="preserve">  </v>
      </c>
      <c r="M99" s="43" t="str">
        <f ca="1">IFERROR(INDEX(FORPTB13!$L$4:$L$580,_xlfn.AGGREGATE(15,6,(ROW(FORPTB13!$B$4:$B$580)-ROW(FORPTB13!#REF!)+1)/((FORPTB13!$B$4:$B$580=$B$5)),ROW(FORPTB13!#REF!))),"")</f>
        <v/>
      </c>
      <c r="N99" s="41" t="str">
        <f ca="1">IFERROR(INDEX(FORPTB13!$M$4:$M$580,_xlfn.AGGREGATE(15,6,(ROW(FORPTB13!$B$4:$B$580)-ROW(FORPTB13!#REF!)+1)/((FORPTB13!$B$4:$B$580=$B$5)),ROW(FORPTB13!#REF!))),"")</f>
        <v/>
      </c>
    </row>
    <row r="100" spans="4:14" ht="16.8" x14ac:dyDescent="0.4">
      <c r="D100" s="44" t="str">
        <f t="shared" ca="1" si="3"/>
        <v/>
      </c>
      <c r="E100" s="44" t="str">
        <f ca="1">IFERROR(INDEX(FORPTB13!$F$4:$F$580,_xlfn.AGGREGATE(15,6,(ROW(FORPTB13!$B$4:$B$580)-ROW(FORPTB13!#REF!)+1)/((FORPTB13!$B$4:$B$580=$B$5)),ROW(FORPTB13!#REF!))),"")</f>
        <v/>
      </c>
      <c r="F100" s="44" t="str">
        <f ca="1">IFERROR(INDEX(FORPTB13!$H$4:$H$580,_xlfn.AGGREGATE(15,6,(ROW(FORPTB13!$B$4:$B$580)-ROW(FORPTB13!#REF!)+1)/((FORPTB13!$B$4:$B$580=$B$5)),ROW(FORPTB13!#REF!))),"")</f>
        <v/>
      </c>
      <c r="G100" s="44" t="str">
        <f ca="1">IFERROR(INDEX(FORPTB13!$J$4:$J$580,_xlfn.AGGREGATE(15,6,(ROW(FORPTB13!$B$4:$B$580)-ROW(FORPTB13!#REF!)+1)/((FORPTB13!$B$4:$B$580=$B$5)),ROW(FORPTB13!#REF!))),"")</f>
        <v/>
      </c>
      <c r="H100" s="44" t="str">
        <f ca="1">IFERROR(INDEX(FORPTB13!$K$4:$K$580,_xlfn.AGGREGATE(15,6,(ROW(FORPTB13!$B$4:$B$580)-ROW(FORPTB13!#REF!)+1)/((FORPTB13!$B$4:$B$580=$B$5)),ROW(FORPTB13!#REF!))),"")</f>
        <v/>
      </c>
      <c r="I100" s="44" t="str">
        <f ca="1">IFERROR(INDEX(FORPTB13!$T$4:$T$580,_xlfn.AGGREGATE(15,6,(ROW(FORPTB13!$B$4:$B$580)-ROW(FORPTB13!#REF!)+1)/((FORPTB13!$B$4:$B$580=$B$5)),ROW(FORPTB13!#REF!))),"")</f>
        <v/>
      </c>
      <c r="J100" s="46" t="str">
        <f ca="1">IFERROR(INDEX(FORPTB13!$I$4:$I$580,_xlfn.AGGREGATE(15,6,(ROW(FORPTB13!$B$4:$B$580)-ROW(FORPTB13!#REF!)+1)/((FORPTB13!$B$4:$B$580=$B$5)),ROW(FORPTB13!#REF!))),"")</f>
        <v/>
      </c>
      <c r="K100" s="45" t="str">
        <f ca="1">IFERROR(INDEX(FORPTB13!$N$4:$N$580,_xlfn.AGGREGATE(15,6,(ROW(FORPTB13!$B$4:$B$580)-ROW(FORPTB13!#REF!)+1)/((FORPTB13!$B$4:$B$580=$B$5)),ROW(FORPTB13!#REF!))),"")</f>
        <v/>
      </c>
      <c r="L100" s="45" t="str">
        <f t="shared" ca="1" si="4"/>
        <v xml:space="preserve">  </v>
      </c>
      <c r="M100" s="46" t="str">
        <f ca="1">IFERROR(INDEX(FORPTB13!$L$4:$L$580,_xlfn.AGGREGATE(15,6,(ROW(FORPTB13!$B$4:$B$580)-ROW(FORPTB13!#REF!)+1)/((FORPTB13!$B$4:$B$580=$B$5)),ROW(FORPTB13!#REF!))),"")</f>
        <v/>
      </c>
      <c r="N100" s="44" t="str">
        <f ca="1">IFERROR(INDEX(FORPTB13!$M$4:$M$580,_xlfn.AGGREGATE(15,6,(ROW(FORPTB13!$B$4:$B$580)-ROW(FORPTB13!#REF!)+1)/((FORPTB13!$B$4:$B$580=$B$5)),ROW(FORPTB13!#REF!))),"")</f>
        <v/>
      </c>
    </row>
    <row r="101" spans="4:14" x14ac:dyDescent="0.3">
      <c r="E101" s="31"/>
      <c r="F101" s="19"/>
      <c r="G101" s="31"/>
      <c r="H101" s="31"/>
      <c r="I101" s="31"/>
      <c r="J101" s="19"/>
      <c r="K101" s="35"/>
      <c r="L101" s="35"/>
      <c r="M101" s="39"/>
      <c r="N101" s="31"/>
    </row>
    <row r="102" spans="4:14" x14ac:dyDescent="0.3">
      <c r="E102" s="31"/>
      <c r="F102" s="19"/>
      <c r="G102" s="31"/>
      <c r="H102" s="31"/>
      <c r="I102" s="31"/>
      <c r="J102" s="19"/>
      <c r="K102" s="35"/>
      <c r="L102" s="35"/>
      <c r="M102" s="39"/>
      <c r="N102" s="31"/>
    </row>
    <row r="103" spans="4:14" x14ac:dyDescent="0.3">
      <c r="E103" s="31"/>
      <c r="F103" s="19"/>
      <c r="G103" s="31"/>
      <c r="H103" s="31"/>
      <c r="I103" s="31"/>
      <c r="J103" s="19"/>
      <c r="K103" s="35"/>
      <c r="L103" s="35"/>
      <c r="M103" s="39"/>
      <c r="N103" s="31"/>
    </row>
    <row r="104" spans="4:14" x14ac:dyDescent="0.3">
      <c r="E104" s="31"/>
      <c r="F104" s="19"/>
      <c r="G104" s="31"/>
      <c r="H104" s="31"/>
      <c r="I104" s="31"/>
      <c r="J104" s="19"/>
      <c r="K104" s="35"/>
      <c r="L104" s="35"/>
      <c r="M104" s="39"/>
      <c r="N104" s="31"/>
    </row>
    <row r="105" spans="4:14" x14ac:dyDescent="0.3">
      <c r="E105" s="31"/>
      <c r="F105" s="19"/>
      <c r="G105" s="31"/>
      <c r="H105" s="31"/>
      <c r="I105" s="31"/>
      <c r="J105" s="19"/>
      <c r="K105" s="35"/>
      <c r="L105" s="35"/>
      <c r="M105" s="39"/>
      <c r="N105" s="31"/>
    </row>
    <row r="106" spans="4:14" x14ac:dyDescent="0.3">
      <c r="E106" s="31"/>
      <c r="F106" s="19"/>
      <c r="G106" s="31"/>
      <c r="H106" s="31"/>
      <c r="I106" s="31"/>
      <c r="J106" s="19"/>
      <c r="K106" s="35"/>
      <c r="L106" s="35"/>
      <c r="M106" s="39"/>
      <c r="N106" s="31"/>
    </row>
    <row r="107" spans="4:14" x14ac:dyDescent="0.3">
      <c r="E107" s="31"/>
      <c r="F107" s="19"/>
      <c r="G107" s="31"/>
      <c r="H107" s="31"/>
      <c r="I107" s="31"/>
      <c r="J107" s="19"/>
      <c r="K107" s="35"/>
      <c r="L107" s="35"/>
      <c r="M107" s="39"/>
      <c r="N107" s="31"/>
    </row>
    <row r="108" spans="4:14" x14ac:dyDescent="0.3">
      <c r="E108" s="31"/>
      <c r="F108" s="19"/>
      <c r="G108" s="31"/>
      <c r="H108" s="31"/>
      <c r="I108" s="31"/>
      <c r="J108" s="19"/>
      <c r="K108" s="35"/>
      <c r="L108" s="35"/>
      <c r="M108" s="39"/>
      <c r="N108" s="31"/>
    </row>
    <row r="109" spans="4:14" x14ac:dyDescent="0.3">
      <c r="E109" s="31"/>
      <c r="F109" s="19"/>
      <c r="G109" s="31"/>
      <c r="H109" s="31"/>
      <c r="I109" s="31"/>
      <c r="J109" s="19"/>
      <c r="K109" s="35"/>
      <c r="L109" s="35"/>
      <c r="M109" s="39"/>
      <c r="N109" s="31"/>
    </row>
    <row r="110" spans="4:14" x14ac:dyDescent="0.3">
      <c r="E110" s="31"/>
      <c r="F110" s="19"/>
      <c r="G110" s="31"/>
      <c r="H110" s="31"/>
      <c r="I110" s="31"/>
      <c r="J110" s="19"/>
      <c r="K110" s="35"/>
      <c r="L110" s="35"/>
      <c r="M110" s="39"/>
      <c r="N110" s="31"/>
    </row>
    <row r="111" spans="4:14" x14ac:dyDescent="0.3">
      <c r="E111" s="31"/>
      <c r="F111" s="19"/>
      <c r="G111" s="31"/>
      <c r="H111" s="31"/>
      <c r="I111" s="31"/>
      <c r="J111" s="19"/>
      <c r="K111" s="35"/>
      <c r="L111" s="35"/>
      <c r="M111" s="39"/>
      <c r="N111" s="31"/>
    </row>
    <row r="112" spans="4:14" x14ac:dyDescent="0.3">
      <c r="E112" s="31"/>
      <c r="F112" s="19"/>
      <c r="G112" s="31"/>
      <c r="H112" s="31"/>
      <c r="I112" s="31"/>
      <c r="J112" s="19"/>
      <c r="K112" s="35"/>
      <c r="L112" s="35"/>
      <c r="M112" s="39"/>
      <c r="N112" s="31"/>
    </row>
    <row r="113" spans="5:14" x14ac:dyDescent="0.3">
      <c r="E113" s="31"/>
      <c r="F113" s="19"/>
      <c r="G113" s="31"/>
      <c r="H113" s="31"/>
      <c r="I113" s="31"/>
      <c r="J113" s="19"/>
      <c r="K113" s="35"/>
      <c r="L113" s="35"/>
      <c r="M113" s="39"/>
      <c r="N113" s="31"/>
    </row>
    <row r="114" spans="5:14" x14ac:dyDescent="0.3">
      <c r="E114" s="31"/>
      <c r="F114" s="19"/>
      <c r="G114" s="31"/>
      <c r="H114" s="31"/>
      <c r="I114" s="31"/>
      <c r="J114" s="19"/>
      <c r="K114" s="35"/>
      <c r="L114" s="35"/>
      <c r="M114" s="39"/>
      <c r="N114" s="31"/>
    </row>
    <row r="115" spans="5:14" x14ac:dyDescent="0.3">
      <c r="E115" s="31"/>
      <c r="F115" s="19"/>
      <c r="G115" s="31"/>
      <c r="H115" s="31"/>
      <c r="I115" s="31"/>
      <c r="J115" s="19"/>
      <c r="K115" s="35"/>
      <c r="L115" s="35"/>
      <c r="M115" s="39"/>
      <c r="N115" s="31"/>
    </row>
    <row r="116" spans="5:14" x14ac:dyDescent="0.3">
      <c r="E116" s="31"/>
      <c r="F116" s="19"/>
      <c r="G116" s="31"/>
      <c r="H116" s="31"/>
      <c r="I116" s="31"/>
      <c r="J116" s="19"/>
      <c r="K116" s="35"/>
      <c r="L116" s="35"/>
      <c r="M116" s="39"/>
      <c r="N116" s="31"/>
    </row>
    <row r="117" spans="5:14" x14ac:dyDescent="0.3">
      <c r="E117" s="31"/>
      <c r="F117" s="19"/>
      <c r="G117" s="31"/>
      <c r="H117" s="31"/>
      <c r="I117" s="31"/>
      <c r="J117" s="19"/>
      <c r="K117" s="35"/>
      <c r="L117" s="35"/>
      <c r="M117" s="39"/>
      <c r="N117" s="31"/>
    </row>
    <row r="118" spans="5:14" x14ac:dyDescent="0.3">
      <c r="E118" s="31"/>
      <c r="F118" s="19"/>
      <c r="G118" s="31"/>
      <c r="H118" s="31"/>
      <c r="I118" s="31"/>
      <c r="J118" s="19"/>
      <c r="K118" s="35"/>
      <c r="L118" s="35"/>
      <c r="M118" s="39"/>
      <c r="N118" s="31"/>
    </row>
    <row r="119" spans="5:14" x14ac:dyDescent="0.3">
      <c r="E119" s="31"/>
      <c r="F119" s="19"/>
      <c r="G119" s="31"/>
      <c r="H119" s="31"/>
      <c r="I119" s="31"/>
      <c r="J119" s="19"/>
      <c r="K119" s="35"/>
      <c r="L119" s="35"/>
      <c r="M119" s="39"/>
      <c r="N119" s="31"/>
    </row>
    <row r="120" spans="5:14" x14ac:dyDescent="0.3">
      <c r="E120" s="31"/>
      <c r="F120" s="19"/>
      <c r="G120" s="31"/>
      <c r="H120" s="31"/>
      <c r="I120" s="31"/>
      <c r="J120" s="19"/>
      <c r="K120" s="35"/>
      <c r="L120" s="35"/>
      <c r="M120" s="39"/>
      <c r="N120" s="31"/>
    </row>
    <row r="121" spans="5:14" x14ac:dyDescent="0.3">
      <c r="E121" s="31"/>
      <c r="F121" s="19"/>
      <c r="G121" s="31"/>
      <c r="H121" s="31"/>
      <c r="I121" s="31"/>
      <c r="J121" s="19"/>
      <c r="K121" s="35"/>
      <c r="L121" s="35"/>
      <c r="M121" s="39"/>
      <c r="N121" s="31"/>
    </row>
    <row r="122" spans="5:14" x14ac:dyDescent="0.3">
      <c r="E122" s="31"/>
      <c r="F122" s="19"/>
      <c r="G122" s="31"/>
      <c r="H122" s="31"/>
      <c r="I122" s="31"/>
      <c r="J122" s="19"/>
      <c r="K122" s="35"/>
      <c r="L122" s="35"/>
      <c r="M122" s="39"/>
      <c r="N122" s="31"/>
    </row>
    <row r="123" spans="5:14" x14ac:dyDescent="0.3">
      <c r="E123" s="31"/>
      <c r="F123" s="19"/>
      <c r="G123" s="31"/>
      <c r="H123" s="31"/>
      <c r="I123" s="31"/>
      <c r="J123" s="19"/>
      <c r="K123" s="35"/>
      <c r="L123" s="35"/>
      <c r="M123" s="39"/>
      <c r="N123" s="31"/>
    </row>
  </sheetData>
  <pageMargins left="0" right="0" top="0" bottom="0" header="0.31496062992125984" footer="0.31496062992125984"/>
  <pageSetup paperSize="9" scale="65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Dados!$F$3:$F$17</xm:f>
          </x14:formula1>
          <xm:sqref>B4:E4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FORPTB13</vt:lpstr>
      <vt:lpstr>Dados</vt:lpstr>
      <vt:lpstr>Revisão </vt:lpstr>
      <vt:lpstr>IMPRESSAO</vt:lpstr>
      <vt:lpstr>FORPTB13!Area_de_impressao</vt:lpstr>
      <vt:lpstr>IMPRESSAO!Area_de_impressao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HHP COMUM</dc:creator>
  <cp:lastModifiedBy>Rafael Santos</cp:lastModifiedBy>
  <cp:lastPrinted>2025-12-02T12:01:21Z</cp:lastPrinted>
  <dcterms:created xsi:type="dcterms:W3CDTF">2024-04-01T23:06:25Z</dcterms:created>
  <dcterms:modified xsi:type="dcterms:W3CDTF">2026-02-09T08:48:09Z</dcterms:modified>
</cp:coreProperties>
</file>